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icio_Guia" sheetId="1" state="visible" r:id="rId3"/>
    <sheet name="Documentos_Entradas" sheetId="2" state="visible" r:id="rId4"/>
    <sheet name="Matriz_RV32I" sheetId="3" state="visible" r:id="rId5"/>
    <sheet name="Escenarios_Prueba" sheetId="4" state="visible" r:id="rId6"/>
    <sheet name="Cobertura_Modulos" sheetId="5" state="visible" r:id="rId7"/>
    <sheet name="Dashboard" sheetId="6" state="visible" r:id="rId8"/>
    <sheet name="MMIO_Interrupts_Traps" sheetId="7" state="visible" r:id="rId9"/>
    <sheet name="Listas" sheetId="8" state="visible" r:id="rId10"/>
    <sheet name="Pipeline_5Etapas" sheetId="9" state="visible" r:id="rId11"/>
    <sheet name="Hazards_Forwarding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<sst xmlns="http://schemas.openxmlformats.org/spreadsheetml/2006/main" count="1192" uniqueCount="600">
  <si>
    <t xml:space="preserve">Plantilla de verificación RV32I para core pipeline de 5 etapas con IF de 2 ciclos (BRAM síncrona)</t>
  </si>
  <si>
    <t xml:space="preserve">Objetivo</t>
  </si>
  <si>
    <t xml:space="preserve">Usar este Excel como plan maestro para verificar un core RV32I con pipeline IF/ID/EX/MEM/WB, considerando que IF tiene 2 ciclos efectivos por la latencia de 1 ciclo de la BRAM de instrucciones, y dejar lista la base para MMIO, periféricos, interrupciones y traps.</t>
  </si>
  <si>
    <t xml:space="preserve">Cómo usar</t>
  </si>
  <si>
    <t xml:space="preserve">1) Completa la hoja Documentos_Entradas. 2) Ajusta la Matriz_RV32I a tu DUT. 3) Usa Pipeline_5Etapas y Hazards_Forwarding para validación microarquitectural. 4) Para este DUT considera IF1=generación de PC/dirección y IF2=retorno/alineación de instrucción desde BRAM. 5) Baja a escenarios, módulos y dashboard.</t>
  </si>
  <si>
    <t xml:space="preserve">Documentos mínimos recomendados</t>
  </si>
  <si>
    <t xml:space="preserve">ISA</t>
  </si>
  <si>
    <t xml:space="preserve">Subset exacto RV32I implementado, instrucciones no soportadas, política de accesos desalineados, semántica de ECALL/EBREAK/FENCE.</t>
  </si>
  <si>
    <t xml:space="preserve">Microarquitectura</t>
  </si>
  <si>
    <t xml:space="preserve">Block diagram del datapath y control, registros IF/ID/EX/MEM/WB, latencia de memorias, forwarding, stall, flush, reset/boot, writeback y ruta de PC redirect.</t>
  </si>
  <si>
    <t xml:space="preserve">Interfaz memoria</t>
  </si>
  <si>
    <t xml:space="preserve">Mapa de memoria, ROM/RAM/MMIO, latencia de lectura/escritura, byte enables, sign/zero extension, wait states y errores de bus.</t>
  </si>
  <si>
    <t xml:space="preserve">Control de hazards</t>
  </si>
  <si>
    <t xml:space="preserve">Matrices o diagramas de detección de RAW, load-use, control hazards, forwarding EX/MEM y MEM/WB, prioridades de stall vs flush.</t>
  </si>
  <si>
    <t xml:space="preserve">Traps / excepciones</t>
  </si>
  <si>
    <t xml:space="preserve">Illegal instruction, misaligned fetch/load/store, ecall/ebreak, mepc/mcause/mtval si existen, prioridad y retorno.</t>
  </si>
  <si>
    <t xml:space="preserve">Interrupciones futuras</t>
  </si>
  <si>
    <t xml:space="preserve">Fuentes, máscara/enable, pending, timer/software/external, latencia máxima, entrada al handler y retorno.</t>
  </si>
  <si>
    <t xml:space="preserve">MMIO / periféricos</t>
  </si>
  <si>
    <t xml:space="preserve">Memory map, registros, side effects, RO/RW/WO, bits W1C/W1S, reset values, temporización y handshakes.</t>
  </si>
  <si>
    <t xml:space="preserve">Evidencia / gráficos útiles</t>
  </si>
  <si>
    <t xml:space="preserve">Block diagram del core, cronograma del pipeline por instrucción, waveform de hazards, mapa de memoria, FSM de traps, tabla de cobertura por instrucción y por módulo.</t>
  </si>
  <si>
    <t xml:space="preserve">Siguiente paso / supuesto de timing</t>
  </si>
  <si>
    <t xml:space="preserve">Esta versión está adaptada a un pipeline de 5 etapas con fetch de 2 ciclos efectivos por BRAM síncrona: IF1 (PC/address) + IF2 (instr válida). EX/MEM/WB siguen modelados como 1 ciclo cada uno salvo que tu RAM de datos también añada latencia.</t>
  </si>
  <si>
    <t xml:space="preserve">DOC_ID</t>
  </si>
  <si>
    <t xml:space="preserve">Documento / gráfico requerido</t>
  </si>
  <si>
    <t xml:space="preserve">Categoría</t>
  </si>
  <si>
    <t xml:space="preserve">Obligatorio</t>
  </si>
  <si>
    <t xml:space="preserve">Disponible</t>
  </si>
  <si>
    <t xml:space="preserve">Versión</t>
  </si>
  <si>
    <t xml:space="preserve">Ubicación/Link</t>
  </si>
  <si>
    <t xml:space="preserve">Impacto en verificación</t>
  </si>
  <si>
    <t xml:space="preserve">Estado revisión</t>
  </si>
  <si>
    <t xml:space="preserve">Notas</t>
  </si>
  <si>
    <t xml:space="preserve">DOC-01</t>
  </si>
  <si>
    <t xml:space="preserve">ISA subset RV32I implementado</t>
  </si>
  <si>
    <t xml:space="preserve">Especificación</t>
  </si>
  <si>
    <t xml:space="preserve">Sí</t>
  </si>
  <si>
    <t xml:space="preserve">No</t>
  </si>
  <si>
    <t xml:space="preserve">Define qué instrucciones, corner cases y traps se deben probar</t>
  </si>
  <si>
    <t xml:space="preserve">Pendiente</t>
  </si>
  <si>
    <t xml:space="preserve">DOC-02</t>
  </si>
  <si>
    <t xml:space="preserve">Diagrama de bloques del core</t>
  </si>
  <si>
    <t xml:space="preserve">Arquitectura</t>
  </si>
  <si>
    <t xml:space="preserve">Permite mapear pruebas a módulos y rutas críticas</t>
  </si>
  <si>
    <t xml:space="preserve">DOC-03</t>
  </si>
  <si>
    <t xml:space="preserve">Cronograma pipeline IF/ID/EX/MEM/WB</t>
  </si>
  <si>
    <t xml:space="preserve">Pipeline</t>
  </si>
  <si>
    <t xml:space="preserve">Aclara dónde se observan resultados, stalls, flushes y wb</t>
  </si>
  <si>
    <t xml:space="preserve">DOC-04</t>
  </si>
  <si>
    <t xml:space="preserve">Tabla de hazards y forwarding</t>
  </si>
  <si>
    <t xml:space="preserve">Base para pruebas RAW, load-use y control hazards</t>
  </si>
  <si>
    <t xml:space="preserve">DOC-05</t>
  </si>
  <si>
    <t xml:space="preserve">Especificación de PC redirect / branch / jump</t>
  </si>
  <si>
    <t xml:space="preserve">Control</t>
  </si>
  <si>
    <t xml:space="preserve">Valida branches, JAL, JALR y penalidad de control</t>
  </si>
  <si>
    <t xml:space="preserve">DOC-06</t>
  </si>
  <si>
    <t xml:space="preserve">Mapa de memoria ROM/RAM/MMIO</t>
  </si>
  <si>
    <t xml:space="preserve">Memoria</t>
  </si>
  <si>
    <t xml:space="preserve">Necesario para LSU, alineamiento y extensiones futuras</t>
  </si>
  <si>
    <t xml:space="preserve">DOC-07</t>
  </si>
  <si>
    <t xml:space="preserve">Especificación ROM/RAM/MMIO y latencias</t>
  </si>
  <si>
    <t xml:space="preserve">Define timing real en MEM y dependencias con stall</t>
  </si>
  <si>
    <t xml:space="preserve">DOC-08</t>
  </si>
  <si>
    <t xml:space="preserve">Plan de reset, boot y programa de arranque</t>
  </si>
  <si>
    <t xml:space="preserve">Integración</t>
  </si>
  <si>
    <t xml:space="preserve">Permite validar reset vector, primer fetch y estado inicial</t>
  </si>
  <si>
    <t xml:space="preserve">DOC-09</t>
  </si>
  <si>
    <t xml:space="preserve">Especificación traps/excepciones/CSR</t>
  </si>
  <si>
    <t xml:space="preserve">Excepciones</t>
  </si>
  <si>
    <t xml:space="preserve">Se usa al extender illegal/misaligned/ecall/ebreak</t>
  </si>
  <si>
    <t xml:space="preserve">DOC-10</t>
  </si>
  <si>
    <t xml:space="preserve">Especificación de interrupciones</t>
  </si>
  <si>
    <t xml:space="preserve">Interrupciones</t>
  </si>
  <si>
    <t xml:space="preserve">Se usa luego para timer/software/external IRQ</t>
  </si>
  <si>
    <t xml:space="preserve">DOC-12</t>
  </si>
  <si>
    <t xml:space="preserve">Diagrama IF1/IF2 por latencia de BRAM</t>
  </si>
  <si>
    <t xml:space="preserve">Aclara la alineación PC vs instrucción y la penalidad real de fetch/redirect</t>
  </si>
  <si>
    <t xml:space="preserve">DOC-13</t>
  </si>
  <si>
    <t xml:space="preserve">Waveform de referencia de fetch con BRAM 1-cycle</t>
  </si>
  <si>
    <t xml:space="preserve">Evidencia</t>
  </si>
  <si>
    <t xml:space="preserve">Permite validar latency-align, flush y cancelación de wrong-path</t>
  </si>
  <si>
    <t xml:space="preserve">Grupo</t>
  </si>
  <si>
    <t xml:space="preserve">Instrucción</t>
  </si>
  <si>
    <t xml:space="preserve">Formato</t>
  </si>
  <si>
    <t xml:space="preserve">Opcode</t>
  </si>
  <si>
    <t xml:space="preserve">Funct3</t>
  </si>
  <si>
    <t xml:space="preserve">Funct7/Imm12</t>
  </si>
  <si>
    <t xml:space="preserve">Chequeos clave</t>
  </si>
  <si>
    <t xml:space="preserve">Cobertura objetivo</t>
  </si>
  <si>
    <t xml:space="preserve">Test dirigido</t>
  </si>
  <si>
    <t xml:space="preserve">Test aleatorio</t>
  </si>
  <si>
    <t xml:space="preserve">Estado</t>
  </si>
  <si>
    <t xml:space="preserve">Módulo primario</t>
  </si>
  <si>
    <t xml:space="preserve">Prioridad</t>
  </si>
  <si>
    <t xml:space="preserve">Notas/Evidencia</t>
  </si>
  <si>
    <t xml:space="preserve">U</t>
  </si>
  <si>
    <t xml:space="preserve">LUI</t>
  </si>
  <si>
    <t xml:space="preserve">Decode inmediato U + writeback</t>
  </si>
  <si>
    <t xml:space="preserve">Cobertura decode/opcode</t>
  </si>
  <si>
    <t xml:space="preserve">Caso dirigido</t>
  </si>
  <si>
    <t xml:space="preserve">Caso random</t>
  </si>
  <si>
    <t xml:space="preserve">No iniciado</t>
  </si>
  <si>
    <t xml:space="preserve">Decode/RegFile</t>
  </si>
  <si>
    <t xml:space="preserve">Alta</t>
  </si>
  <si>
    <t xml:space="preserve">AUIPC</t>
  </si>
  <si>
    <t xml:space="preserve">PC + immU</t>
  </si>
  <si>
    <t xml:space="preserve">Cobertura suma PC</t>
  </si>
  <si>
    <t xml:space="preserve">PC/ALU</t>
  </si>
  <si>
    <t xml:space="preserve">J</t>
  </si>
  <si>
    <t xml:space="preserve">JAL</t>
  </si>
  <si>
    <t xml:space="preserve">Salto + link</t>
  </si>
  <si>
    <t xml:space="preserve">Cobertura salto tomado</t>
  </si>
  <si>
    <t xml:space="preserve">Jump/PC</t>
  </si>
  <si>
    <t xml:space="preserve">I</t>
  </si>
  <si>
    <t xml:space="preserve">JALR</t>
  </si>
  <si>
    <t xml:space="preserve">Salto indirecto + link + alineamiento</t>
  </si>
  <si>
    <t xml:space="preserve">Cobertura target</t>
  </si>
  <si>
    <t xml:space="preserve">B</t>
  </si>
  <si>
    <t xml:space="preserve">BEQ</t>
  </si>
  <si>
    <t xml:space="preserve">Branch equal tomado/no tomado</t>
  </si>
  <si>
    <t xml:space="preserve">Cobertura compare/taken</t>
  </si>
  <si>
    <t xml:space="preserve">Branch</t>
  </si>
  <si>
    <t xml:space="preserve">BNE</t>
  </si>
  <si>
    <t xml:space="preserve">Branch not equal</t>
  </si>
  <si>
    <t xml:space="preserve">BLT</t>
  </si>
  <si>
    <t xml:space="preserve">Comparación signed &lt;</t>
  </si>
  <si>
    <t xml:space="preserve">Cobertura signed compare</t>
  </si>
  <si>
    <t xml:space="preserve">Branch/ALU</t>
  </si>
  <si>
    <t xml:space="preserve">BGE</t>
  </si>
  <si>
    <t xml:space="preserve">Comparación signed &gt;=</t>
  </si>
  <si>
    <t xml:space="preserve">BLTU</t>
  </si>
  <si>
    <t xml:space="preserve">Comparación unsigned &lt;</t>
  </si>
  <si>
    <t xml:space="preserve">Cobertura unsigned compare</t>
  </si>
  <si>
    <t xml:space="preserve">BGEU</t>
  </si>
  <si>
    <t xml:space="preserve">Comparación unsigned &gt;=</t>
  </si>
  <si>
    <t xml:space="preserve">L</t>
  </si>
  <si>
    <t xml:space="preserve">LB</t>
  </si>
  <si>
    <t xml:space="preserve">Load sign-extend byte</t>
  </si>
  <si>
    <t xml:space="preserve">Cobertura tamaño/sign extend</t>
  </si>
  <si>
    <t xml:space="preserve">LSU</t>
  </si>
  <si>
    <t xml:space="preserve">LH</t>
  </si>
  <si>
    <t xml:space="preserve">Load sign-extend half</t>
  </si>
  <si>
    <t xml:space="preserve">LW</t>
  </si>
  <si>
    <t xml:space="preserve">Load word</t>
  </si>
  <si>
    <t xml:space="preserve">Cobertura tamaño word</t>
  </si>
  <si>
    <t xml:space="preserve">LBU</t>
  </si>
  <si>
    <t xml:space="preserve">Load zero-extend byte</t>
  </si>
  <si>
    <t xml:space="preserve">Cobertura zero extend</t>
  </si>
  <si>
    <t xml:space="preserve">LHU</t>
  </si>
  <si>
    <t xml:space="preserve">Load zero-extend half</t>
  </si>
  <si>
    <t xml:space="preserve">S</t>
  </si>
  <si>
    <t xml:space="preserve">SB</t>
  </si>
  <si>
    <t xml:space="preserve">Store byte</t>
  </si>
  <si>
    <t xml:space="preserve">Cobertura tamaño store</t>
  </si>
  <si>
    <t xml:space="preserve">SH</t>
  </si>
  <si>
    <t xml:space="preserve">Store half</t>
  </si>
  <si>
    <t xml:space="preserve">SW</t>
  </si>
  <si>
    <t xml:space="preserve">Store word</t>
  </si>
  <si>
    <t xml:space="preserve">I-ALU</t>
  </si>
  <si>
    <t xml:space="preserve">ADDI</t>
  </si>
  <si>
    <t xml:space="preserve">Suma inmediata</t>
  </si>
  <si>
    <t xml:space="preserve">Cobertura ALU/add</t>
  </si>
  <si>
    <t xml:space="preserve">ALU</t>
  </si>
  <si>
    <t xml:space="preserve">SLTI</t>
  </si>
  <si>
    <t xml:space="preserve">Compare signed inmediato</t>
  </si>
  <si>
    <t xml:space="preserve">Media</t>
  </si>
  <si>
    <t xml:space="preserve">SLTIU</t>
  </si>
  <si>
    <t xml:space="preserve">Compare unsigned inmediato</t>
  </si>
  <si>
    <t xml:space="preserve">XORI</t>
  </si>
  <si>
    <t xml:space="preserve">XOR inmediato</t>
  </si>
  <si>
    <t xml:space="preserve">Cobertura lógica</t>
  </si>
  <si>
    <t xml:space="preserve">ORI</t>
  </si>
  <si>
    <t xml:space="preserve">OR inmediato</t>
  </si>
  <si>
    <t xml:space="preserve">ANDI</t>
  </si>
  <si>
    <t xml:space="preserve">AND inmediato</t>
  </si>
  <si>
    <t xml:space="preserve">SLLI</t>
  </si>
  <si>
    <t xml:space="preserve">Shift left imm</t>
  </si>
  <si>
    <t xml:space="preserve">Cobertura shift amount</t>
  </si>
  <si>
    <t xml:space="preserve">SRLI</t>
  </si>
  <si>
    <t xml:space="preserve">Shift right logical imm</t>
  </si>
  <si>
    <t xml:space="preserve">SRAI</t>
  </si>
  <si>
    <t xml:space="preserve">Shift right arithmetic imm</t>
  </si>
  <si>
    <t xml:space="preserve">Cobertura shift/sign</t>
  </si>
  <si>
    <t xml:space="preserve">R</t>
  </si>
  <si>
    <t xml:space="preserve">ADD</t>
  </si>
  <si>
    <t xml:space="preserve">Suma registro</t>
  </si>
  <si>
    <t xml:space="preserve">SUB</t>
  </si>
  <si>
    <t xml:space="preserve">Resta registro</t>
  </si>
  <si>
    <t xml:space="preserve">Cobertura ALU/sub</t>
  </si>
  <si>
    <t xml:space="preserve">SLL</t>
  </si>
  <si>
    <t xml:space="preserve">Shift left</t>
  </si>
  <si>
    <t xml:space="preserve">SLT</t>
  </si>
  <si>
    <t xml:space="preserve">Compare signed</t>
  </si>
  <si>
    <t xml:space="preserve">SLTU</t>
  </si>
  <si>
    <t xml:space="preserve">Compare unsigned</t>
  </si>
  <si>
    <t xml:space="preserve">XOR</t>
  </si>
  <si>
    <t xml:space="preserve">XOR registro</t>
  </si>
  <si>
    <t xml:space="preserve">SRL</t>
  </si>
  <si>
    <t xml:space="preserve">Shift right logical</t>
  </si>
  <si>
    <t xml:space="preserve">SRA</t>
  </si>
  <si>
    <t xml:space="preserve">Shift right arithmetic</t>
  </si>
  <si>
    <t xml:space="preserve">OR</t>
  </si>
  <si>
    <t xml:space="preserve">OR registro</t>
  </si>
  <si>
    <t xml:space="preserve">AND</t>
  </si>
  <si>
    <t xml:space="preserve">AND registro</t>
  </si>
  <si>
    <t xml:space="preserve">SYS</t>
  </si>
  <si>
    <t xml:space="preserve">FENCE</t>
  </si>
  <si>
    <t xml:space="preserve">Ordenamiento / sin efecto visible si simple bus</t>
  </si>
  <si>
    <t xml:space="preserve">Cobertura decode</t>
  </si>
  <si>
    <t xml:space="preserve">Placeholder futuro</t>
  </si>
  <si>
    <t xml:space="preserve">Control/Bus</t>
  </si>
  <si>
    <t xml:space="preserve">Baja</t>
  </si>
  <si>
    <t xml:space="preserve">ECALL</t>
  </si>
  <si>
    <t xml:space="preserve">Trap por llamada entorno</t>
  </si>
  <si>
    <t xml:space="preserve">Cobertura trap cause</t>
  </si>
  <si>
    <t xml:space="preserve">Trap</t>
  </si>
  <si>
    <t xml:space="preserve">EBREAK</t>
  </si>
  <si>
    <t xml:space="preserve">Trap por breakpoint</t>
  </si>
  <si>
    <t xml:space="preserve">TC_ID</t>
  </si>
  <si>
    <t xml:space="preserve">Módulo</t>
  </si>
  <si>
    <t xml:space="preserve">Área</t>
  </si>
  <si>
    <t xml:space="preserve">Escenario</t>
  </si>
  <si>
    <t xml:space="preserve">Precondición</t>
  </si>
  <si>
    <t xml:space="preserve">Estímulo</t>
  </si>
  <si>
    <t xml:space="preserve">Resultado esperado</t>
  </si>
  <si>
    <t xml:space="preserve">Tipo</t>
  </si>
  <si>
    <t xml:space="preserve">Automatización</t>
  </si>
  <si>
    <t xml:space="preserve">Observaciones</t>
  </si>
  <si>
    <t xml:space="preserve">TC-001</t>
  </si>
  <si>
    <t xml:space="preserve">IF</t>
  </si>
  <si>
    <t xml:space="preserve">Reset/Boot</t>
  </si>
  <si>
    <t xml:space="preserve">PC arranca en reset_vector con BRAM 1-cycle</t>
  </si>
  <si>
    <t xml:space="preserve">reset activo</t>
  </si>
  <si>
    <t xml:space="preserve">liberar reset</t>
  </si>
  <si>
    <t xml:space="preserve">PC = reset_vector; la primera instrucción válida aparece 1 ciclo después de emitida la dirección</t>
  </si>
  <si>
    <t xml:space="preserve">Dirigido</t>
  </si>
  <si>
    <t xml:space="preserve">Crítica</t>
  </si>
  <si>
    <t xml:space="preserve">10us – 11us (set - reset)</t>
  </si>
  <si>
    <t xml:space="preserve">PASS</t>
  </si>
  <si>
    <t xml:space="preserve">TC-002</t>
  </si>
  <si>
    <t xml:space="preserve">Fetch</t>
  </si>
  <si>
    <t xml:space="preserve">Incremento secuencial de PC con IF1/IF2</t>
  </si>
  <si>
    <t xml:space="preserve">programa lineal</t>
  </si>
  <si>
    <t xml:space="preserve">ejecutar N instrucciones</t>
  </si>
  <si>
    <t xml:space="preserve">La dirección avanza +4 en IF1 y la instrucción correspondiente aparece en IF2 al ciclo siguiente</t>
  </si>
  <si>
    <t xml:space="preserve">TC-003</t>
  </si>
  <si>
    <t xml:space="preserve">Latency align</t>
  </si>
  <si>
    <t xml:space="preserve">Alineación PC vs instrucción retornada por BRAM</t>
  </si>
  <si>
    <t xml:space="preserve">BRAM síncrona activa</t>
  </si>
  <si>
    <t xml:space="preserve">capturar pc_if1, instr_if2</t>
  </si>
  <si>
    <t xml:space="preserve">La instrucción observada pertenece al PC emitido 1 ciclo antes</t>
  </si>
  <si>
    <t xml:space="preserve">TC-004</t>
  </si>
  <si>
    <t xml:space="preserve">IF/ID</t>
  </si>
  <si>
    <t xml:space="preserve">Pipeline reg</t>
  </si>
  <si>
    <t xml:space="preserve">Hold conserva IF/ID pese a latencia de fetch</t>
  </si>
  <si>
    <t xml:space="preserve">stall activo</t>
  </si>
  <si>
    <t xml:space="preserve">mantener 1-2 ciclos</t>
  </si>
  <si>
    <t xml:space="preserve">PC/instr en IF/ID no cambian y no se duplica/omite instrucción al reanudar</t>
  </si>
  <si>
    <t xml:space="preserve">TC-005</t>
  </si>
  <si>
    <t xml:space="preserve">Flush inserta burbuja/NOP con wrong-path ya solicitado a BRAM</t>
  </si>
  <si>
    <t xml:space="preserve">redirect o flush activo</t>
  </si>
  <si>
    <t xml:space="preserve">forzar branch tomado</t>
  </si>
  <si>
    <t xml:space="preserve">ID recibe NOP o valid=0 según DUT; la instrucción retornada tarde por BRAM queda anulada</t>
  </si>
  <si>
    <t xml:space="preserve">TC-006</t>
  </si>
  <si>
    <t xml:space="preserve">Decode</t>
  </si>
  <si>
    <t xml:space="preserve">Illegal</t>
  </si>
  <si>
    <t xml:space="preserve">Opcode ilegal genera condición esperada</t>
  </si>
  <si>
    <t xml:space="preserve">inyectar instrucción reservada</t>
  </si>
  <si>
    <t xml:space="preserve">ejecutar palabra inválida</t>
  </si>
  <si>
    <t xml:space="preserve">flag/trap/error según DUT</t>
  </si>
  <si>
    <t xml:space="preserve">TC-007</t>
  </si>
  <si>
    <t xml:space="preserve">RegFile</t>
  </si>
  <si>
    <t xml:space="preserve">Arquitectural</t>
  </si>
  <si>
    <t xml:space="preserve">x0 permanece en cero</t>
  </si>
  <si>
    <t xml:space="preserve">escrituras a x0</t>
  </si>
  <si>
    <t xml:space="preserve">emitir múltiples writes</t>
  </si>
  <si>
    <t xml:space="preserve">x0 nunca cambia</t>
  </si>
  <si>
    <t xml:space="preserve">Assertion</t>
  </si>
  <si>
    <t xml:space="preserve">TC-008</t>
  </si>
  <si>
    <t xml:space="preserve">ImmGen</t>
  </si>
  <si>
    <t xml:space="preserve">Inmediatos</t>
  </si>
  <si>
    <t xml:space="preserve">Sign extension correcta I/S/B/U/J</t>
  </si>
  <si>
    <t xml:space="preserve">vectores por formato</t>
  </si>
  <si>
    <t xml:space="preserve">aplicar instrucciones</t>
  </si>
  <si>
    <t xml:space="preserve">inmediato decodificado correctamente</t>
  </si>
  <si>
    <t xml:space="preserve">TC-009</t>
  </si>
  <si>
    <t xml:space="preserve">Shift</t>
  </si>
  <si>
    <t xml:space="preserve">SLL/SRL/SRA con shamt 0 y 31</t>
  </si>
  <si>
    <t xml:space="preserve">operandos borde</t>
  </si>
  <si>
    <t xml:space="preserve">ejecutar shifts</t>
  </si>
  <si>
    <t xml:space="preserve">desplazamiento correcto</t>
  </si>
  <si>
    <t xml:space="preserve">TC-010</t>
  </si>
  <si>
    <t xml:space="preserve">BEQ/BNE tomado y no tomado</t>
  </si>
  <si>
    <t xml:space="preserve">pares de operandos</t>
  </si>
  <si>
    <t xml:space="preserve">ejecutar branches</t>
  </si>
  <si>
    <t xml:space="preserve">target o secuencia correcta</t>
  </si>
  <si>
    <t xml:space="preserve">TC-011</t>
  </si>
  <si>
    <t xml:space="preserve">Jump</t>
  </si>
  <si>
    <t xml:space="preserve">JAL escribe link correcto</t>
  </si>
  <si>
    <t xml:space="preserve">programa con jal</t>
  </si>
  <si>
    <t xml:space="preserve">ejecutar jal</t>
  </si>
  <si>
    <t xml:space="preserve">rd = pc+4 y redirect correcto</t>
  </si>
  <si>
    <t xml:space="preserve">TC-012</t>
  </si>
  <si>
    <t xml:space="preserve">JALR alinea target</t>
  </si>
  <si>
    <t xml:space="preserve">rs1+imm con bit0=1</t>
  </si>
  <si>
    <t xml:space="preserve">ejecutar jalr</t>
  </si>
  <si>
    <t xml:space="preserve">target[0]=0</t>
  </si>
  <si>
    <t xml:space="preserve">TC-013</t>
  </si>
  <si>
    <t xml:space="preserve">Hazard</t>
  </si>
  <si>
    <t xml:space="preserve">RAW</t>
  </si>
  <si>
    <t xml:space="preserve">Forwarding ALU-&gt;ALU</t>
  </si>
  <si>
    <t xml:space="preserve">secuencia dependiente</t>
  </si>
  <si>
    <t xml:space="preserve">ejecutar add/addi back-to-back</t>
  </si>
  <si>
    <t xml:space="preserve">sin stall, resultado correcto</t>
  </si>
  <si>
    <t xml:space="preserve">TC-014</t>
  </si>
  <si>
    <t xml:space="preserve">Load-use</t>
  </si>
  <si>
    <t xml:space="preserve">LW seguida de uso inmediato</t>
  </si>
  <si>
    <t xml:space="preserve">memoria con dato válido</t>
  </si>
  <si>
    <t xml:space="preserve">ejecutar lw/add</t>
  </si>
  <si>
    <t xml:space="preserve">1 bubble y resultado correcto</t>
  </si>
  <si>
    <t xml:space="preserve">TC-015</t>
  </si>
  <si>
    <t xml:space="preserve">Loads</t>
  </si>
  <si>
    <t xml:space="preserve">LB/LH/LW/LBU/LHU</t>
  </si>
  <si>
    <t xml:space="preserve">memoria inicializada</t>
  </si>
  <si>
    <t xml:space="preserve">ejecutar loads</t>
  </si>
  <si>
    <t xml:space="preserve">data + extensión correctas</t>
  </si>
  <si>
    <t xml:space="preserve">TC-016</t>
  </si>
  <si>
    <t xml:space="preserve">Stores</t>
  </si>
  <si>
    <t xml:space="preserve">SB/SH/SW con byte enables</t>
  </si>
  <si>
    <t xml:space="preserve">memoria limpia</t>
  </si>
  <si>
    <t xml:space="preserve">ejecutar stores</t>
  </si>
  <si>
    <t xml:space="preserve">write strobes y datos correctos</t>
  </si>
  <si>
    <t xml:space="preserve">TC-017</t>
  </si>
  <si>
    <t xml:space="preserve">MEM/WB</t>
  </si>
  <si>
    <t xml:space="preserve">Writeback</t>
  </si>
  <si>
    <t xml:space="preserve">Selección wb_sel</t>
  </si>
  <si>
    <t xml:space="preserve">casos ALU/MEM/PC+4/IMM</t>
  </si>
  <si>
    <t xml:space="preserve">ejecutar secuencia mixta</t>
  </si>
  <si>
    <t xml:space="preserve">regfile recibe fuente correcta</t>
  </si>
  <si>
    <t xml:space="preserve">TC-018</t>
  </si>
  <si>
    <t xml:space="preserve">Control global</t>
  </si>
  <si>
    <t xml:space="preserve">Prioridades</t>
  </si>
  <si>
    <t xml:space="preserve">flush vs stall</t>
  </si>
  <si>
    <t xml:space="preserve">hazard + branch coinciden</t>
  </si>
  <si>
    <t xml:space="preserve">forzar coincidencia</t>
  </si>
  <si>
    <t xml:space="preserve">se cumple prioridad definida por DUT</t>
  </si>
  <si>
    <t xml:space="preserve">TC-019</t>
  </si>
  <si>
    <t xml:space="preserve">Cobertura</t>
  </si>
  <si>
    <t xml:space="preserve">Regresión</t>
  </si>
  <si>
    <t xml:space="preserve">Smoke test RV32I</t>
  </si>
  <si>
    <t xml:space="preserve">programa corto mixto</t>
  </si>
  <si>
    <t xml:space="preserve">ejecutar regresión</t>
  </si>
  <si>
    <t xml:space="preserve">sin mismatches</t>
  </si>
  <si>
    <t xml:space="preserve">.section .text.start
.globl _start
_start:
    addi x1, x0, 1
done:
    jal x0, done
</t>
  </si>
  <si>
    <t xml:space="preserve">.section .text.start
.globl _start
_start:
    addi x1, x0, 1
    addi x2, x0, 2
    addi x3, x0, 3
    addi x4, x0, 4
    addi x5, x0, 5
done:
    jal x0, done
</t>
  </si>
  <si>
    <t xml:space="preserve">.section .text.start
.globl _start
_start:
    addi x1, x0, 10
    addi x2, x0, 20
    add  x3, x1, x2
    addi x4, x3, 1
done:
    jal x0, done
</t>
  </si>
  <si>
    <t xml:space="preserve">.section .text.start
.globl _start
_start:
    addi x1, x0, 1
    addi x2, x0, 2
    addi x3, x0, 3
    addi x4, x0, 4
done:
    jal x0, done</t>
  </si>
  <si>
    <t xml:space="preserve">Descripción</t>
  </si>
  <si>
    <t xml:space="preserve">Tests planificados</t>
  </si>
  <si>
    <t xml:space="preserve">Tests completados</t>
  </si>
  <si>
    <t xml:space="preserve">% avance</t>
  </si>
  <si>
    <t xml:space="preserve">Owner</t>
  </si>
  <si>
    <t xml:space="preserve">Fetch, PC, reset vector, redirect</t>
  </si>
  <si>
    <t xml:space="preserve">Registro de pipeline y flush/hold</t>
  </si>
  <si>
    <t xml:space="preserve">Opcode/funct decode e instrucciones ilegales</t>
  </si>
  <si>
    <t xml:space="preserve">Lectura/escritura registros, x0 constante</t>
  </si>
  <si>
    <t xml:space="preserve">Generación de inmediatos I/S/B/U/J</t>
  </si>
  <si>
    <t xml:space="preserve">ID/EX</t>
  </si>
  <si>
    <t xml:space="preserve">Registro de pipeline y bubble</t>
  </si>
  <si>
    <t xml:space="preserve">ALU/EX</t>
  </si>
  <si>
    <t xml:space="preserve">Aritmética, lógica, compares, shifts</t>
  </si>
  <si>
    <t xml:space="preserve">Branch/Jump</t>
  </si>
  <si>
    <t xml:space="preserve">Branches, JAL, JALR, redirect</t>
  </si>
  <si>
    <t xml:space="preserve">Hazard Unit</t>
  </si>
  <si>
    <t xml:space="preserve">RAW, load-use, stall/forwarding/flush</t>
  </si>
  <si>
    <t xml:space="preserve">EX/MEM</t>
  </si>
  <si>
    <t xml:space="preserve">Registro de pipeline</t>
  </si>
  <si>
    <t xml:space="preserve">LSU/MEM</t>
  </si>
  <si>
    <t xml:space="preserve">Loads, stores, be, sign/zero extension</t>
  </si>
  <si>
    <t xml:space="preserve">Registro de pipeline y wb_sel</t>
  </si>
  <si>
    <t xml:space="preserve">WB/RegFile</t>
  </si>
  <si>
    <t xml:space="preserve">Escritura arquitectural final</t>
  </si>
  <si>
    <t xml:space="preserve">Trap/CSR</t>
  </si>
  <si>
    <t xml:space="preserve">ECALL/EBREAK y futuras excepciones</t>
  </si>
  <si>
    <t xml:space="preserve">MMIO</t>
  </si>
  <si>
    <t xml:space="preserve">Extensión futura para periféricos</t>
  </si>
  <si>
    <t xml:space="preserve">N/A</t>
  </si>
  <si>
    <t xml:space="preserve">Interrupt</t>
  </si>
  <si>
    <t xml:space="preserve">Extensión futura para IRQ/timer/software</t>
  </si>
  <si>
    <t xml:space="preserve">Regresión, coverage y cierre</t>
  </si>
  <si>
    <t xml:space="preserve">Dashboard de verificación RV32I - Pipeline 5 etapas</t>
  </si>
  <si>
    <t xml:space="preserve">KPI</t>
  </si>
  <si>
    <t xml:space="preserve">Valor</t>
  </si>
  <si>
    <t xml:space="preserve">Total instrucciones RV32I</t>
  </si>
  <si>
    <t xml:space="preserve">Instrucciones completadas</t>
  </si>
  <si>
    <t xml:space="preserve">Avance RV32I</t>
  </si>
  <si>
    <t xml:space="preserve">Avance módulos</t>
  </si>
  <si>
    <t xml:space="preserve">Hazards cerrados</t>
  </si>
  <si>
    <t xml:space="preserve">Escenarios cerrados</t>
  </si>
  <si>
    <t xml:space="preserve">Cantidad</t>
  </si>
  <si>
    <t xml:space="preserve">Completados/Plan</t>
  </si>
  <si>
    <t xml:space="preserve">En progreso</t>
  </si>
  <si>
    <t xml:space="preserve">Bloqueado</t>
  </si>
  <si>
    <t xml:space="preserve">Completado</t>
  </si>
  <si>
    <t xml:space="preserve">Docs</t>
  </si>
  <si>
    <t xml:space="preserve">Obligatorios</t>
  </si>
  <si>
    <t xml:space="preserve">Obligatorios completos</t>
  </si>
  <si>
    <t xml:space="preserve">Extensiones futuras</t>
  </si>
  <si>
    <t xml:space="preserve">Extensiones completadas</t>
  </si>
  <si>
    <t xml:space="preserve">Avance extensiones</t>
  </si>
  <si>
    <t xml:space="preserve">EXT_ID</t>
  </si>
  <si>
    <t xml:space="preserve">Feature</t>
  </si>
  <si>
    <t xml:space="preserve">Subfeature</t>
  </si>
  <si>
    <t xml:space="preserve">Dependencia doc</t>
  </si>
  <si>
    <t xml:space="preserve">EXT-001</t>
  </si>
  <si>
    <t xml:space="preserve">Memory map</t>
  </si>
  <si>
    <t xml:space="preserve">Validar decode de regiones MMIO vs RAM/ROM</t>
  </si>
  <si>
    <t xml:space="preserve">EXT-002</t>
  </si>
  <si>
    <t xml:space="preserve">Read/write regs</t>
  </si>
  <si>
    <t xml:space="preserve">Acceso RO/RW/WO y side effects</t>
  </si>
  <si>
    <t xml:space="preserve">EXT-003</t>
  </si>
  <si>
    <t xml:space="preserve">Reset values</t>
  </si>
  <si>
    <t xml:space="preserve">Valores por reset y sticky bits</t>
  </si>
  <si>
    <t xml:space="preserve">EXT-004</t>
  </si>
  <si>
    <t xml:space="preserve">External IRQ</t>
  </si>
  <si>
    <t xml:space="preserve">Entrada, enable/mask, pending, acknowledge</t>
  </si>
  <si>
    <t xml:space="preserve">EXT-005</t>
  </si>
  <si>
    <t xml:space="preserve">Timer IRQ</t>
  </si>
  <si>
    <t xml:space="preserve">Generación y latencia de interrupción por timer</t>
  </si>
  <si>
    <t xml:space="preserve">EXT-006</t>
  </si>
  <si>
    <t xml:space="preserve">Software IRQ</t>
  </si>
  <si>
    <t xml:space="preserve">Set/clear y servicio</t>
  </si>
  <si>
    <t xml:space="preserve">EXT-007</t>
  </si>
  <si>
    <t xml:space="preserve">Illegal instruction</t>
  </si>
  <si>
    <t xml:space="preserve">Cause code y EPC</t>
  </si>
  <si>
    <t xml:space="preserve">EXT-008</t>
  </si>
  <si>
    <t xml:space="preserve">Misaligned access</t>
  </si>
  <si>
    <t xml:space="preserve">Load/store address misaligned</t>
  </si>
  <si>
    <t xml:space="preserve">EXT-009</t>
  </si>
  <si>
    <t xml:space="preserve">Nested/priority</t>
  </si>
  <si>
    <t xml:space="preserve">Priorización entre eventos y nesting</t>
  </si>
  <si>
    <t xml:space="preserve">EXT-010</t>
  </si>
  <si>
    <t xml:space="preserve">Return</t>
  </si>
  <si>
    <t xml:space="preserve">Retorno de trap y restauración de contexto</t>
  </si>
  <si>
    <t xml:space="preserve">Tipo_Test</t>
  </si>
  <si>
    <t xml:space="preserve">Automatizacion</t>
  </si>
  <si>
    <t xml:space="preserve">Aleatorio</t>
  </si>
  <si>
    <t xml:space="preserve">Parcial</t>
  </si>
  <si>
    <t xml:space="preserve">Formal</t>
  </si>
  <si>
    <t xml:space="preserve">Etapa</t>
  </si>
  <si>
    <t xml:space="preserve">Objetivo funcional</t>
  </si>
  <si>
    <t xml:space="preserve">Entradas clave</t>
  </si>
  <si>
    <t xml:space="preserve">Salidas clave</t>
  </si>
  <si>
    <t xml:space="preserve">Checks obligatorios</t>
  </si>
  <si>
    <t xml:space="preserve">Señales a observar</t>
  </si>
  <si>
    <t xml:space="preserve">Assertions sugeridas</t>
  </si>
  <si>
    <t xml:space="preserve">IF (2 ciclos efectivos)</t>
  </si>
  <si>
    <t xml:space="preserve">Fetch y generación de PC con BRAM síncrona de 1 ciclo</t>
  </si>
  <si>
    <t xml:space="preserve">pc, pc_en, pc_redirect_valid, pc_redirect_target, reset, instr_bram</t>
  </si>
  <si>
    <t xml:space="preserve">pc_if1, addr_if1, instr_if2, pc_if2, pc_plus4_if2</t>
  </si>
  <si>
    <t xml:space="preserve">reset vector, secuencia PC+4, hold/stall, redirect correcto, alineación PC↔instr por latencia BRAM</t>
  </si>
  <si>
    <t xml:space="preserve">pc, pc_next, instr_bram, instr_fetch, valid_if, addr_rom</t>
  </si>
  <si>
    <t xml:space="preserve">PC estable durante stall; la instrucción observada en IF2 corresponde al PC emitido 1 ciclo antes</t>
  </si>
  <si>
    <t xml:space="preserve">reset, secuencial, redirect, latency-align</t>
  </si>
  <si>
    <t xml:space="preserve">Modelar IF1=emisión de dirección y IF2=recepción de instrucción</t>
  </si>
  <si>
    <t xml:space="preserve">ID</t>
  </si>
  <si>
    <t xml:space="preserve">Decode y lectura de registros</t>
  </si>
  <si>
    <t xml:space="preserve">instr_id, pc_id, rs1, rs2, rd, control decode</t>
  </si>
  <si>
    <t xml:space="preserve">imm, ctrl, rs1_data, rs2_data</t>
  </si>
  <si>
    <t xml:space="preserve">decode correcto, x0 fijo, inmediatos, illegal detect</t>
  </si>
  <si>
    <t xml:space="preserve">opcode, funct3, funct7, imm, rs1_data, rs2_data</t>
  </si>
  <si>
    <t xml:space="preserve">x0 siempre 0; decode legal coincide con opcode</t>
  </si>
  <si>
    <t xml:space="preserve">decode por formato</t>
  </si>
  <si>
    <t xml:space="preserve">EX</t>
  </si>
  <si>
    <t xml:space="preserve">ALU, branch y cálculo de target</t>
  </si>
  <si>
    <t xml:space="preserve">op_a, op_b, alu_op, branch inputs, jal/jalr</t>
  </si>
  <si>
    <t xml:space="preserve">alu_result, branch_taken, pc_redirect_target</t>
  </si>
  <si>
    <t xml:space="preserve">ALU correcta, compare signed/unsigned, target de salto correcto</t>
  </si>
  <si>
    <t xml:space="preserve">alu_a, alu_b, alu_result, branch_taken</t>
  </si>
  <si>
    <t xml:space="preserve">resultado ALU correcto; redirect válido solo cuando corresponde</t>
  </si>
  <si>
    <t xml:space="preserve">ALU + control</t>
  </si>
  <si>
    <t xml:space="preserve">MEM</t>
  </si>
  <si>
    <t xml:space="preserve">Acceso a memoria / load-store</t>
  </si>
  <si>
    <t xml:space="preserve">addr, wdata, mem_re, mem_we, size, unsigned</t>
  </si>
  <si>
    <t xml:space="preserve">rdata, be, side effects</t>
  </si>
  <si>
    <t xml:space="preserve">byte enables, sign/zero extension, alineamiento, latencia</t>
  </si>
  <si>
    <t xml:space="preserve">dmem_addr, dmem_wdata, dmem_rdata, be</t>
  </si>
  <si>
    <t xml:space="preserve">be correcto por tamaño y addr[1:0]</t>
  </si>
  <si>
    <t xml:space="preserve">WB</t>
  </si>
  <si>
    <t xml:space="preserve">Escritura arquitectural</t>
  </si>
  <si>
    <t xml:space="preserve">wb_sel, rd_we, rd, wb_data</t>
  </si>
  <si>
    <t xml:space="preserve">regfile write</t>
  </si>
  <si>
    <t xml:space="preserve">rd_data correcto, rd_we correcto, x0 no cambia</t>
  </si>
  <si>
    <t xml:space="preserve">rd, rd_we, wb_data</t>
  </si>
  <si>
    <t xml:space="preserve">si rd=0 nunca modifica x0</t>
  </si>
  <si>
    <t xml:space="preserve">writeback</t>
  </si>
  <si>
    <t xml:space="preserve">if_valid, if_pc, if_instr, hold/flush</t>
  </si>
  <si>
    <t xml:space="preserve">id_valid, id_pc, id_instr</t>
  </si>
  <si>
    <t xml:space="preserve">hold conserva, flush inserta burbuja/NOP</t>
  </si>
  <si>
    <t xml:space="preserve">if_id_*</t>
  </si>
  <si>
    <t xml:space="preserve">flush domina sobre capture según arquitectura</t>
  </si>
  <si>
    <t xml:space="preserve">pipeline regs</t>
  </si>
  <si>
    <t xml:space="preserve">id payload</t>
  </si>
  <si>
    <t xml:space="preserve">ex payload</t>
  </si>
  <si>
    <t xml:space="preserve">bubble válida, señales limpias en flush</t>
  </si>
  <si>
    <t xml:space="preserve">id_ex_*</t>
  </si>
  <si>
    <t xml:space="preserve">flush genera control nulo</t>
  </si>
  <si>
    <t xml:space="preserve">mem payload</t>
  </si>
  <si>
    <t xml:space="preserve">propagación de resultado/control</t>
  </si>
  <si>
    <t xml:space="preserve">ex_mem_*</t>
  </si>
  <si>
    <t xml:space="preserve">resultado de EX llega íntegro a MEM</t>
  </si>
  <si>
    <t xml:space="preserve">wb payload</t>
  </si>
  <si>
    <t xml:space="preserve">propagación final hacia regfile</t>
  </si>
  <si>
    <t xml:space="preserve">mem_wb_*</t>
  </si>
  <si>
    <t xml:space="preserve">dato de WB coincide con fuente seleccionada</t>
  </si>
  <si>
    <t xml:space="preserve">Arbitraje stall/flush/valid incluyendo penalidad de fetch</t>
  </si>
  <si>
    <t xml:space="preserve">hazard detect, redirect, exceptions, bram latency</t>
  </si>
  <si>
    <t xml:space="preserve">hold, flush, valid progression</t>
  </si>
  <si>
    <t xml:space="preserve">prioridad correcta entre eventos y cancelación de instrucciones en vuelo en IF/ID</t>
  </si>
  <si>
    <t xml:space="preserve">stall, flush, valid_*, pc_redirect_valid, instr_valid_delayed</t>
  </si>
  <si>
    <t xml:space="preserve">no avanza instrucción inválida; flush mata wrong-path aunque la BRAM entregue dato 1 ciclo después</t>
  </si>
  <si>
    <t xml:space="preserve">control</t>
  </si>
  <si>
    <t xml:space="preserve">Convención de evidencia</t>
  </si>
  <si>
    <t xml:space="preserve">Qué guardar</t>
  </si>
  <si>
    <t xml:space="preserve">waveforms, asm, expected</t>
  </si>
  <si>
    <t xml:space="preserve">captura y log</t>
  </si>
  <si>
    <t xml:space="preserve">guardar caso, ciclo clave y expected</t>
  </si>
  <si>
    <t xml:space="preserve">capturas etiquetadas</t>
  </si>
  <si>
    <t xml:space="preserve">n/a</t>
  </si>
  <si>
    <t xml:space="preserve">Activo</t>
  </si>
  <si>
    <t xml:space="preserve">Usa una fila por bug o corner case cerrado</t>
  </si>
  <si>
    <t xml:space="preserve">HZ_ID</t>
  </si>
  <si>
    <t xml:space="preserve">Secuencia ASM mínima</t>
  </si>
  <si>
    <t xml:space="preserve">Riesgo</t>
  </si>
  <si>
    <t xml:space="preserve">Mecanismo esperado</t>
  </si>
  <si>
    <t xml:space="preserve">Etapa donde se detecta</t>
  </si>
  <si>
    <t xml:space="preserve">Etapa donde se resuelve</t>
  </si>
  <si>
    <t xml:space="preserve">HZ-001</t>
  </si>
  <si>
    <t xml:space="preserve">ADD seguido de uso inmediato</t>
  </si>
  <si>
    <t xml:space="preserve">addi x1,x0,9 ; add x2,x1,x1</t>
  </si>
  <si>
    <t xml:space="preserve">dato aún no escrito en regfile</t>
  </si>
  <si>
    <t xml:space="preserve">forwarding EX/MEM o MEM/WB</t>
  </si>
  <si>
    <t xml:space="preserve">forward_a, forward_b, alu_a, alu_b</t>
  </si>
  <si>
    <t xml:space="preserve">ALU ve 9 y 9 aunque regfile aún no tenga x1</t>
  </si>
  <si>
    <t xml:space="preserve">HZ-002</t>
  </si>
  <si>
    <t xml:space="preserve">ADDI seguido de ADDI dependiente</t>
  </si>
  <si>
    <t xml:space="preserve">addi x1,x0,5 ; addi x2,x1,1</t>
  </si>
  <si>
    <t xml:space="preserve">dependencia rs1</t>
  </si>
  <si>
    <t xml:space="preserve">forwarding</t>
  </si>
  <si>
    <t xml:space="preserve">forward_a, alu_a</t>
  </si>
  <si>
    <t xml:space="preserve">resultado x2=6 sin stall</t>
  </si>
  <si>
    <t xml:space="preserve">HZ-003</t>
  </si>
  <si>
    <t xml:space="preserve">LW seguido de ALU dependiente</t>
  </si>
  <si>
    <t xml:space="preserve">lw x1,0(x2) ; add x3,x1,x4</t>
  </si>
  <si>
    <t xml:space="preserve">dato disponible tarde</t>
  </si>
  <si>
    <t xml:space="preserve">stall + bubble</t>
  </si>
  <si>
    <t xml:space="preserve">ID/EX o hazard unit</t>
  </si>
  <si>
    <t xml:space="preserve">MEM/WB hacia EX</t>
  </si>
  <si>
    <t xml:space="preserve">stall, hold_if, flush_id_ex</t>
  </si>
  <si>
    <t xml:space="preserve">se inserta 1 burbuja y luego dato correcto</t>
  </si>
  <si>
    <t xml:space="preserve">HZ-004</t>
  </si>
  <si>
    <t xml:space="preserve">Branch tomado con BRAM 1-cycle</t>
  </si>
  <si>
    <t xml:space="preserve">beq x1,x2,target</t>
  </si>
  <si>
    <t xml:space="preserve">instrucciones wrong-path ya solicitadas a BRAM</t>
  </si>
  <si>
    <t xml:space="preserve">flush + pc_redirect + anulación de dato tardío</t>
  </si>
  <si>
    <t xml:space="preserve">branch_taken, pc_redirect_valid, flush, instr_valid_delayed</t>
  </si>
  <si>
    <t xml:space="preserve">wrong-path anulada y PC salta a target aunque BRAM entregue una instrucción vieja 1 ciclo después</t>
  </si>
  <si>
    <t xml:space="preserve">HZ-005</t>
  </si>
  <si>
    <t xml:space="preserve">JAL con BRAM 1-cycle</t>
  </si>
  <si>
    <t xml:space="preserve">jal x1,target</t>
  </si>
  <si>
    <t xml:space="preserve">redirección de PC + link + instrucción en vuelo</t>
  </si>
  <si>
    <t xml:space="preserve">flush + wb pc+4</t>
  </si>
  <si>
    <t xml:space="preserve">IF/ID/WB</t>
  </si>
  <si>
    <t xml:space="preserve">pc_redirect_valid, pc_redirect_target, wb_data, if_valid</t>
  </si>
  <si>
    <t xml:space="preserve">rd recibe pc+4 y la instrucción tardía de BRAM no contamina ID</t>
  </si>
  <si>
    <t xml:space="preserve">HZ-006</t>
  </si>
  <si>
    <t xml:space="preserve">JALR con BRAM 1-cycle</t>
  </si>
  <si>
    <t xml:space="preserve">jalr x1,x2,imm</t>
  </si>
  <si>
    <t xml:space="preserve">target indirecto, alineado y fetch especulativo previo</t>
  </si>
  <si>
    <t xml:space="preserve">flush + mask bit0</t>
  </si>
  <si>
    <t xml:space="preserve">pc_redirect_target, wb_data, flush</t>
  </si>
  <si>
    <t xml:space="preserve">target=(rs1+imm)&amp;~1 y se anula el wrong-path</t>
  </si>
  <si>
    <t xml:space="preserve">HZ-007</t>
  </si>
  <si>
    <t xml:space="preserve">Structural</t>
  </si>
  <si>
    <t xml:space="preserve">Fetch BRAM latency align</t>
  </si>
  <si>
    <t xml:space="preserve">addi x1,x0,1 ; addi x2,x0,2</t>
  </si>
  <si>
    <t xml:space="preserve">desfase PC vs instrucción</t>
  </si>
  <si>
    <t xml:space="preserve">registro/alineador IF o valid retrasado</t>
  </si>
  <si>
    <t xml:space="preserve">pc_if1, instr_if2, valid_if2</t>
  </si>
  <si>
    <t xml:space="preserve">cada instrucción queda asociada a su PC correcto</t>
  </si>
  <si>
    <t xml:space="preserve">HZ-008</t>
  </si>
  <si>
    <t xml:space="preserve">Memoria con latencia</t>
  </si>
  <si>
    <t xml:space="preserve">back-to-back access</t>
  </si>
  <si>
    <t xml:space="preserve">latencia de RAM/ROM</t>
  </si>
  <si>
    <t xml:space="preserve">hold o protocolo definido</t>
  </si>
  <si>
    <t xml:space="preserve">MEM/IF</t>
  </si>
  <si>
    <t xml:space="preserve">según diseño</t>
  </si>
  <si>
    <t xml:space="preserve">ready/valid o wait signals</t>
  </si>
  <si>
    <t xml:space="preserve">sin corrupción de pipeline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</si>
</sst>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000000"/>
    <numFmt numFmtId="167" formatCode="000"/>
    <numFmt numFmtId="168" formatCode="000000000000"/>
    <numFmt numFmtId="169" formatCode="0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5CAD"/>
        <bgColor rgb="FF156082"/>
      </patternFill>
    </fill>
    <fill>
      <patternFill patternType="solid">
        <fgColor rgb="FF1F4E78"/>
        <bgColor rgb="FF156082"/>
      </patternFill>
    </fill>
    <fill>
      <patternFill patternType="solid">
        <fgColor rgb="FF72BF44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6">
    <dxf>
      <font>
        <name val="Calibri"/>
        <charset val="1"/>
        <family val="0"/>
        <b val="0"/>
        <i val="0"/>
        <strike val="0"/>
        <outline val="0"/>
        <shadow val="0"/>
        <color rgb="FFFFFFFF"/>
        <u val="none"/>
      </font>
      <numFmt numFmtId="164" formatCode="General"/>
      <fill>
        <patternFill>
          <bgColor rgb="FFFFFFFF"/>
        </patternFill>
      </fill>
      <border diagonalUp="false" diagonalDown="false">
        <left/>
        <right/>
        <top/>
        <bottom/>
        <diagonal/>
      </border>
    </dxf>
    <dxf>
      <font>
        <name val="Lohit Devanagari"/>
        <charset val="1"/>
        <family val="2"/>
      </font>
    </dxf>
    <dxf>
      <font>
        <name val="Lohit Devanagari"/>
        <charset val="1"/>
        <family val="2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FCC"/>
      <rgbColor rgb="FFCCFFFF"/>
      <rgbColor rgb="FF660066"/>
      <rgbColor rgb="FFFF8080"/>
      <rgbColor rgb="FF0B5CA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Estado de instrucciones RV32I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"Cantidad"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Dashboard!$A$11:$A$15</c:f>
              <c:strCache>
                <c:ptCount val="5"/>
                <c:pt idx="0">
                  <c:v>No iniciado</c:v>
                </c:pt>
                <c:pt idx="1">
                  <c:v>En progreso</c:v>
                </c:pt>
                <c:pt idx="2">
                  <c:v>Bloqueado</c:v>
                </c:pt>
                <c:pt idx="3">
                  <c:v>Completado</c:v>
                </c:pt>
                <c:pt idx="4">
                  <c:v>N/A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2399148"/>
        <c:axId val="64857148"/>
      </c:barChart>
      <c:catAx>
        <c:axId val="5239914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4857148"/>
        <c:crosses val="autoZero"/>
        <c:auto val="1"/>
        <c:lblAlgn val="ctr"/>
        <c:lblOffset val="100"/>
        <c:noMultiLvlLbl val="0"/>
      </c:catAx>
      <c:valAx>
        <c:axId val="6485714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23991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ES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Avance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"% avance"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Dashboard!$D$11:$D$23</c:f>
              <c:strCache>
                <c:ptCount val="13"/>
                <c:pt idx="0">
                  <c:v>IF</c:v>
                </c:pt>
                <c:pt idx="1">
                  <c:v>IF/ID</c:v>
                </c:pt>
                <c:pt idx="2">
                  <c:v>Decode</c:v>
                </c:pt>
                <c:pt idx="3">
                  <c:v>RegFile</c:v>
                </c:pt>
                <c:pt idx="4">
                  <c:v>ImmGen</c:v>
                </c:pt>
                <c:pt idx="5">
                  <c:v>ID/EX</c:v>
                </c:pt>
                <c:pt idx="6">
                  <c:v>ALU/EX</c:v>
                </c:pt>
                <c:pt idx="7">
                  <c:v>Branch/Jump</c:v>
                </c:pt>
                <c:pt idx="8">
                  <c:v>Hazard Unit</c:v>
                </c:pt>
                <c:pt idx="9">
                  <c:v>LSU/MEM</c:v>
                </c:pt>
                <c:pt idx="10">
                  <c:v>MEM/WB</c:v>
                </c:pt>
                <c:pt idx="11">
                  <c:v>Trap/CSR</c:v>
                </c:pt>
                <c:pt idx="12">
                  <c:v>Cobertura</c:v>
                </c:pt>
              </c:strCache>
            </c:strRef>
          </c:cat>
          <c:val>
            <c:numRef>
              <c:f>Dashboard!$E$11:$E$23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83459522"/>
        <c:axId val="58780389"/>
      </c:barChart>
      <c:catAx>
        <c:axId val="8345952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8780389"/>
        <c:crosses val="autoZero"/>
        <c:auto val="1"/>
        <c:lblAlgn val="ctr"/>
        <c:lblOffset val="100"/>
        <c:noMultiLvlLbl val="0"/>
      </c:catAx>
      <c:valAx>
        <c:axId val="5878038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34595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1309320</xdr:colOff>
      <xdr:row>40</xdr:row>
      <xdr:rowOff>10440</xdr:rowOff>
    </xdr:from>
    <xdr:to>
      <xdr:col>6</xdr:col>
      <xdr:colOff>6754320</xdr:colOff>
      <xdr:row>48</xdr:row>
      <xdr:rowOff>72000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1969200" y="9150480"/>
          <a:ext cx="18111960" cy="326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51840</xdr:colOff>
      <xdr:row>24</xdr:row>
      <xdr:rowOff>222480</xdr:rowOff>
    </xdr:from>
    <xdr:to>
      <xdr:col>6</xdr:col>
      <xdr:colOff>7017480</xdr:colOff>
      <xdr:row>36</xdr:row>
      <xdr:rowOff>156240</xdr:rowOff>
    </xdr:to>
    <xdr:pic>
      <xdr:nvPicPr>
        <xdr:cNvPr id="2" name="Imagen 2"/>
        <xdr:cNvPicPr/>
      </xdr:nvPicPr>
      <xdr:blipFill>
        <a:blip r:embed="rId2"/>
        <a:stretch/>
      </xdr:blipFill>
      <xdr:spPr>
        <a:xfrm>
          <a:off x="2056680" y="5150160"/>
          <a:ext cx="18287640" cy="33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14400</xdr:colOff>
      <xdr:row>52</xdr:row>
      <xdr:rowOff>41040</xdr:rowOff>
    </xdr:from>
    <xdr:to>
      <xdr:col>6</xdr:col>
      <xdr:colOff>6950880</xdr:colOff>
      <xdr:row>59</xdr:row>
      <xdr:rowOff>176760</xdr:rowOff>
    </xdr:to>
    <xdr:pic>
      <xdr:nvPicPr>
        <xdr:cNvPr id="3" name="Imagen 3"/>
        <xdr:cNvPicPr/>
      </xdr:nvPicPr>
      <xdr:blipFill>
        <a:blip r:embed="rId3"/>
        <a:stretch/>
      </xdr:blipFill>
      <xdr:spPr>
        <a:xfrm>
          <a:off x="2019240" y="13147920"/>
          <a:ext cx="18258480" cy="3003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23400</xdr:colOff>
      <xdr:row>62</xdr:row>
      <xdr:rowOff>24120</xdr:rowOff>
    </xdr:from>
    <xdr:to>
      <xdr:col>6</xdr:col>
      <xdr:colOff>6687360</xdr:colOff>
      <xdr:row>70</xdr:row>
      <xdr:rowOff>159480</xdr:rowOff>
    </xdr:to>
    <xdr:pic>
      <xdr:nvPicPr>
        <xdr:cNvPr id="4" name="Image 1"/>
        <xdr:cNvPicPr/>
      </xdr:nvPicPr>
      <xdr:blipFill>
        <a:blip r:embed="rId4"/>
        <a:stretch/>
      </xdr:blipFill>
      <xdr:spPr>
        <a:xfrm>
          <a:off x="2028240" y="16570440"/>
          <a:ext cx="17985960" cy="305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13</xdr:col>
      <xdr:colOff>757800</xdr:colOff>
      <xdr:row>16</xdr:row>
      <xdr:rowOff>131760</xdr:rowOff>
    </xdr:to>
    <xdr:graphicFrame>
      <xdr:nvGraphicFramePr>
        <xdr:cNvPr id="5" name="Chart"/>
        <xdr:cNvGraphicFramePr/>
      </xdr:nvGraphicFramePr>
      <xdr:xfrm>
        <a:off x="9521280" y="380880"/>
        <a:ext cx="490680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114120</xdr:rowOff>
    </xdr:from>
    <xdr:to>
      <xdr:col>13</xdr:col>
      <xdr:colOff>757800</xdr:colOff>
      <xdr:row>38</xdr:row>
      <xdr:rowOff>6840</xdr:rowOff>
    </xdr:to>
    <xdr:graphicFrame>
      <xdr:nvGraphicFramePr>
        <xdr:cNvPr id="6" name="Chart"/>
        <xdr:cNvGraphicFramePr/>
      </xdr:nvGraphicFramePr>
      <xdr:xfrm>
        <a:off x="9521280" y="3619440"/>
        <a:ext cx="4906800" cy="399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tensionesTable" displayName="ExtensionesTable" ref="A1:K11" headerRowCount="1" totalsRowCount="0" totalsRowShown="0">
  <tableColumns count="11">
    <tableColumn id="1" name="EXT_ID"/>
    <tableColumn id="2" name="Feature"/>
    <tableColumn id="3" name="Subfeature"/>
    <tableColumn id="4" name="Descripción"/>
    <tableColumn id="5" name="Dependencia doc"/>
    <tableColumn id="6" name="Módulo"/>
    <tableColumn id="7" name="Tests planificados"/>
    <tableColumn id="8" name="Tests completados"/>
    <tableColumn id="9" name="% avance"/>
    <tableColumn id="10" name="Estado"/>
    <tableColumn id="11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7" activeCellId="0" sqref="B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9.08"/>
    <col collapsed="false" customWidth="true" hidden="false" outlineLevel="0" max="2" min="2" style="1" width="178.59"/>
    <col collapsed="false" customWidth="true" hidden="false" outlineLevel="0" max="3" min="3" style="1" width="15.74"/>
    <col collapsed="false" customWidth="true" hidden="false" outlineLevel="0" max="8" min="4" style="1" width="0.06"/>
    <col collapsed="false" customWidth="true" hidden="false" outlineLevel="0" max="9" min="9" style="1" width="21.11"/>
    <col collapsed="false" customWidth="true" hidden="false" outlineLevel="0" max="12" min="10" style="1" width="0.06"/>
    <col collapsed="false" customWidth="true" hidden="false" outlineLevel="0" max="1025" min="13" style="1" width="10.77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</row>
    <row r="2" customFormat="false" ht="30" hidden="false" customHeight="true" outlineLevel="0" collapsed="false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3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0" hidden="false" customHeight="true" outlineLevel="0" collapsed="false">
      <c r="A4" s="4" t="s">
        <v>5</v>
      </c>
      <c r="B4" s="4"/>
      <c r="C4" s="4"/>
      <c r="D4" s="4"/>
      <c r="E4" s="4"/>
      <c r="F4" s="3"/>
      <c r="G4" s="3"/>
      <c r="H4" s="3"/>
      <c r="I4" s="3"/>
      <c r="J4" s="3"/>
      <c r="K4" s="3"/>
      <c r="L4" s="3"/>
    </row>
    <row r="5" customFormat="false" ht="30" hidden="false" customHeight="true" outlineLevel="0" collapsed="false">
      <c r="A5" s="3" t="s">
        <v>6</v>
      </c>
      <c r="B5" s="3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0" hidden="false" customHeight="true" outlineLevel="0" collapsed="false">
      <c r="A6" s="3" t="s">
        <v>8</v>
      </c>
      <c r="B6" s="3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30" hidden="false" customHeight="true" outlineLevel="0" collapsed="false">
      <c r="A7" s="3" t="s">
        <v>10</v>
      </c>
      <c r="B7" s="3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30" hidden="false" customHeight="true" outlineLevel="0" collapsed="false">
      <c r="A8" s="3" t="s">
        <v>12</v>
      </c>
      <c r="B8" s="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30" hidden="false" customHeight="true" outlineLevel="0" collapsed="false">
      <c r="A9" s="3" t="s">
        <v>14</v>
      </c>
      <c r="B9" s="3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30" hidden="false" customHeight="true" outlineLevel="0" collapsed="false">
      <c r="A10" s="3" t="s">
        <v>16</v>
      </c>
      <c r="B10" s="3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30" hidden="false" customHeight="true" outlineLevel="0" collapsed="false">
      <c r="A11" s="3" t="s">
        <v>18</v>
      </c>
      <c r="B11" s="3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30" hidden="false" customHeight="true" outlineLevel="0" collapsed="false">
      <c r="A12" s="3" t="s">
        <v>20</v>
      </c>
      <c r="B12" s="3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30" hidden="false" customHeight="true" outlineLevel="0" collapsed="false">
      <c r="A13" s="3" t="s">
        <v>22</v>
      </c>
      <c r="B13" s="3" t="s">
        <v>23</v>
      </c>
      <c r="C13" s="3"/>
      <c r="D13" s="3"/>
      <c r="E13" s="3"/>
      <c r="F13" s="3"/>
      <c r="G13" s="3"/>
      <c r="H13" s="3"/>
      <c r="I13" s="3"/>
      <c r="J13" s="3"/>
      <c r="K13" s="3"/>
      <c r="L13" s="3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6" activeCellId="0" sqref="D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62"/>
    <col collapsed="false" customWidth="true" hidden="false" outlineLevel="0" max="2" min="2" style="1" width="64.09"/>
    <col collapsed="false" customWidth="true" hidden="false" outlineLevel="0" max="3" min="3" style="1" width="19.8"/>
    <col collapsed="false" customWidth="true" hidden="false" outlineLevel="0" max="4" min="4" style="1" width="15.12"/>
    <col collapsed="false" customWidth="true" hidden="false" outlineLevel="0" max="5" min="5" style="1" width="14.4"/>
    <col collapsed="false" customWidth="true" hidden="false" outlineLevel="0" max="6" min="6" style="1" width="10.08"/>
    <col collapsed="false" customWidth="true" hidden="false" outlineLevel="0" max="7" min="7" style="1" width="20.17"/>
    <col collapsed="false" customWidth="true" hidden="false" outlineLevel="0" max="8" min="8" style="1" width="99.19"/>
    <col collapsed="false" customWidth="true" hidden="false" outlineLevel="0" max="9" min="9" style="1" width="20.53"/>
    <col collapsed="false" customWidth="true" hidden="false" outlineLevel="0" max="10" min="10" style="1" width="7.93"/>
    <col collapsed="false" customWidth="true" hidden="false" outlineLevel="0" max="12" min="11" style="1" width="0.06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3"/>
      <c r="L1" s="3"/>
    </row>
    <row r="2" customFormat="false" ht="16.4" hidden="false" customHeight="false" outlineLevel="0" collapsed="false">
      <c r="A2" s="5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/>
      <c r="G2" s="3"/>
      <c r="H2" s="3" t="s">
        <v>39</v>
      </c>
      <c r="I2" s="3" t="s">
        <v>40</v>
      </c>
      <c r="J2" s="3"/>
      <c r="K2" s="3"/>
      <c r="L2" s="3"/>
    </row>
    <row r="3" customFormat="false" ht="16.4" hidden="false" customHeight="false" outlineLevel="0" collapsed="false">
      <c r="A3" s="5" t="s">
        <v>41</v>
      </c>
      <c r="B3" s="3" t="s">
        <v>42</v>
      </c>
      <c r="C3" s="3" t="s">
        <v>43</v>
      </c>
      <c r="D3" s="3" t="s">
        <v>37</v>
      </c>
      <c r="E3" s="3" t="s">
        <v>38</v>
      </c>
      <c r="F3" s="3"/>
      <c r="G3" s="3"/>
      <c r="H3" s="3" t="s">
        <v>44</v>
      </c>
      <c r="I3" s="3" t="s">
        <v>40</v>
      </c>
      <c r="J3" s="3"/>
      <c r="K3" s="3"/>
      <c r="L3" s="3"/>
    </row>
    <row r="4" customFormat="false" ht="16.4" hidden="false" customHeight="false" outlineLevel="0" collapsed="false">
      <c r="A4" s="5" t="s">
        <v>45</v>
      </c>
      <c r="B4" s="3" t="s">
        <v>46</v>
      </c>
      <c r="C4" s="3" t="s">
        <v>47</v>
      </c>
      <c r="D4" s="3" t="s">
        <v>37</v>
      </c>
      <c r="E4" s="3" t="s">
        <v>38</v>
      </c>
      <c r="F4" s="3"/>
      <c r="G4" s="3"/>
      <c r="H4" s="3" t="s">
        <v>48</v>
      </c>
      <c r="I4" s="3" t="s">
        <v>40</v>
      </c>
      <c r="J4" s="3"/>
      <c r="K4" s="3"/>
      <c r="L4" s="3"/>
    </row>
    <row r="5" customFormat="false" ht="16.4" hidden="false" customHeight="false" outlineLevel="0" collapsed="false">
      <c r="A5" s="5" t="s">
        <v>49</v>
      </c>
      <c r="B5" s="3" t="s">
        <v>50</v>
      </c>
      <c r="C5" s="3" t="s">
        <v>47</v>
      </c>
      <c r="D5" s="3" t="s">
        <v>37</v>
      </c>
      <c r="E5" s="3" t="s">
        <v>38</v>
      </c>
      <c r="F5" s="3"/>
      <c r="G5" s="3"/>
      <c r="H5" s="3" t="s">
        <v>51</v>
      </c>
      <c r="I5" s="3" t="s">
        <v>40</v>
      </c>
      <c r="J5" s="3"/>
      <c r="K5" s="3"/>
      <c r="L5" s="3"/>
    </row>
    <row r="6" customFormat="false" ht="16.4" hidden="false" customHeight="false" outlineLevel="0" collapsed="false">
      <c r="A6" s="5" t="s">
        <v>52</v>
      </c>
      <c r="B6" s="3" t="s">
        <v>53</v>
      </c>
      <c r="C6" s="3" t="s">
        <v>54</v>
      </c>
      <c r="D6" s="3" t="s">
        <v>37</v>
      </c>
      <c r="E6" s="3" t="s">
        <v>38</v>
      </c>
      <c r="F6" s="3"/>
      <c r="G6" s="3"/>
      <c r="H6" s="3" t="s">
        <v>55</v>
      </c>
      <c r="I6" s="3" t="s">
        <v>40</v>
      </c>
      <c r="J6" s="3"/>
      <c r="K6" s="3"/>
      <c r="L6" s="3"/>
    </row>
    <row r="7" customFormat="false" ht="16.4" hidden="false" customHeight="false" outlineLevel="0" collapsed="false">
      <c r="A7" s="5" t="s">
        <v>56</v>
      </c>
      <c r="B7" s="3" t="s">
        <v>57</v>
      </c>
      <c r="C7" s="3" t="s">
        <v>58</v>
      </c>
      <c r="D7" s="3" t="s">
        <v>37</v>
      </c>
      <c r="E7" s="3" t="s">
        <v>38</v>
      </c>
      <c r="F7" s="3"/>
      <c r="G7" s="3"/>
      <c r="H7" s="3" t="s">
        <v>59</v>
      </c>
      <c r="I7" s="3" t="s">
        <v>40</v>
      </c>
      <c r="J7" s="3"/>
      <c r="K7" s="3"/>
      <c r="L7" s="3"/>
    </row>
    <row r="8" customFormat="false" ht="16.4" hidden="false" customHeight="false" outlineLevel="0" collapsed="false">
      <c r="A8" s="5" t="s">
        <v>60</v>
      </c>
      <c r="B8" s="3" t="s">
        <v>61</v>
      </c>
      <c r="C8" s="3" t="s">
        <v>58</v>
      </c>
      <c r="D8" s="3" t="s">
        <v>37</v>
      </c>
      <c r="E8" s="3" t="s">
        <v>38</v>
      </c>
      <c r="F8" s="3"/>
      <c r="G8" s="3"/>
      <c r="H8" s="3" t="s">
        <v>62</v>
      </c>
      <c r="I8" s="3" t="s">
        <v>40</v>
      </c>
      <c r="J8" s="3"/>
      <c r="K8" s="3"/>
      <c r="L8" s="3"/>
    </row>
    <row r="9" customFormat="false" ht="16.4" hidden="false" customHeight="false" outlineLevel="0" collapsed="false">
      <c r="A9" s="5" t="s">
        <v>63</v>
      </c>
      <c r="B9" s="3" t="s">
        <v>64</v>
      </c>
      <c r="C9" s="3" t="s">
        <v>65</v>
      </c>
      <c r="D9" s="3" t="s">
        <v>37</v>
      </c>
      <c r="E9" s="3" t="s">
        <v>38</v>
      </c>
      <c r="F9" s="3"/>
      <c r="G9" s="3"/>
      <c r="H9" s="3" t="s">
        <v>66</v>
      </c>
      <c r="I9" s="3" t="s">
        <v>40</v>
      </c>
      <c r="J9" s="3"/>
      <c r="K9" s="3"/>
      <c r="L9" s="3"/>
    </row>
    <row r="10" customFormat="false" ht="16.4" hidden="false" customHeight="false" outlineLevel="0" collapsed="false">
      <c r="A10" s="5" t="s">
        <v>67</v>
      </c>
      <c r="B10" s="3" t="s">
        <v>68</v>
      </c>
      <c r="C10" s="3" t="s">
        <v>69</v>
      </c>
      <c r="D10" s="3" t="s">
        <v>38</v>
      </c>
      <c r="E10" s="3" t="s">
        <v>38</v>
      </c>
      <c r="F10" s="3"/>
      <c r="G10" s="3"/>
      <c r="H10" s="3" t="s">
        <v>70</v>
      </c>
      <c r="I10" s="3" t="s">
        <v>40</v>
      </c>
      <c r="J10" s="3"/>
      <c r="K10" s="3"/>
      <c r="L10" s="3"/>
    </row>
    <row r="11" customFormat="false" ht="16.4" hidden="false" customHeight="false" outlineLevel="0" collapsed="false">
      <c r="A11" s="5" t="s">
        <v>71</v>
      </c>
      <c r="B11" s="3" t="s">
        <v>72</v>
      </c>
      <c r="C11" s="3" t="s">
        <v>73</v>
      </c>
      <c r="D11" s="3" t="s">
        <v>38</v>
      </c>
      <c r="E11" s="3" t="s">
        <v>38</v>
      </c>
      <c r="F11" s="3"/>
      <c r="G11" s="3"/>
      <c r="H11" s="3" t="s">
        <v>74</v>
      </c>
      <c r="I11" s="3" t="s">
        <v>40</v>
      </c>
      <c r="J11" s="3"/>
      <c r="K11" s="3"/>
      <c r="L11" s="3"/>
    </row>
    <row r="12" customFormat="false" ht="16.4" hidden="false" customHeight="false" outlineLevel="0" collapsed="false">
      <c r="A12" s="3" t="s">
        <v>75</v>
      </c>
      <c r="B12" s="3" t="s">
        <v>76</v>
      </c>
      <c r="C12" s="3" t="s">
        <v>47</v>
      </c>
      <c r="D12" s="3" t="s">
        <v>37</v>
      </c>
      <c r="E12" s="3" t="s">
        <v>38</v>
      </c>
      <c r="F12" s="3"/>
      <c r="G12" s="3"/>
      <c r="H12" s="3" t="s">
        <v>77</v>
      </c>
      <c r="I12" s="3" t="s">
        <v>40</v>
      </c>
      <c r="J12" s="3"/>
      <c r="K12" s="3"/>
      <c r="L12" s="3"/>
    </row>
    <row r="13" customFormat="false" ht="16.4" hidden="false" customHeight="false" outlineLevel="0" collapsed="false">
      <c r="A13" s="3" t="s">
        <v>78</v>
      </c>
      <c r="B13" s="3" t="s">
        <v>79</v>
      </c>
      <c r="C13" s="3" t="s">
        <v>80</v>
      </c>
      <c r="D13" s="3" t="s">
        <v>37</v>
      </c>
      <c r="E13" s="3" t="s">
        <v>38</v>
      </c>
      <c r="F13" s="3"/>
      <c r="G13" s="3"/>
      <c r="H13" s="3" t="s">
        <v>81</v>
      </c>
      <c r="I13" s="3" t="s">
        <v>40</v>
      </c>
      <c r="J13" s="3"/>
      <c r="K13" s="3"/>
      <c r="L13" s="3"/>
    </row>
  </sheetData>
  <conditionalFormatting sqref="F2:F11">
    <cfRule type="expression" priority="2" aboveAverage="0" equalAverage="0" bottom="0" percent="0" rank="0" text="" dxfId="0">
      <formula>F2="Completado"</formula>
    </cfRule>
    <cfRule type="expression" priority="3" aboveAverage="0" equalAverage="0" bottom="0" percent="0" rank="0" text="" dxfId="0">
      <formula>F2="En progreso"</formula>
    </cfRule>
    <cfRule type="expression" priority="4" aboveAverage="0" equalAverage="0" bottom="0" percent="0" rank="0" text="" dxfId="0">
      <formula>F2="Bloqueado"</formula>
    </cfRule>
    <cfRule type="expression" priority="5" aboveAverage="0" equalAverage="0" bottom="0" percent="0" rank="0" text="" dxfId="0">
      <formula>F2="No iniciado"</formula>
    </cfRule>
    <cfRule type="expression" priority="6" aboveAverage="0" equalAverage="0" bottom="0" percent="0" rank="0" text="" dxfId="0">
      <formula>F2="N/A"</formula>
    </cfRule>
  </conditionalFormatting>
  <dataValidations count="1">
    <dataValidation allowBlank="false" errorStyle="stop" operator="between" showDropDown="false" showErrorMessage="false" showInputMessage="false" sqref="F2:F11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42" activeCellId="0" sqref="G4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12"/>
    <col collapsed="false" customWidth="true" hidden="false" outlineLevel="0" max="2" min="2" style="1" width="17.64"/>
    <col collapsed="false" customWidth="true" hidden="false" outlineLevel="0" max="3" min="3" style="1" width="12.61"/>
    <col collapsed="false" customWidth="true" hidden="false" outlineLevel="0" max="4" min="4" style="1" width="15.12"/>
    <col collapsed="false" customWidth="true" hidden="false" outlineLevel="0" max="5" min="5" style="1" width="12.61"/>
    <col collapsed="false" customWidth="true" hidden="false" outlineLevel="0" max="6" min="6" style="1" width="20.17"/>
    <col collapsed="false" customWidth="true" hidden="false" outlineLevel="0" max="7" min="7" style="1" width="42.86"/>
    <col collapsed="false" customWidth="true" hidden="false" outlineLevel="0" max="8" min="8" style="1" width="40.57"/>
    <col collapsed="false" customWidth="true" hidden="false" outlineLevel="0" max="11" min="9" style="1" width="20.17"/>
    <col collapsed="false" customWidth="true" hidden="false" outlineLevel="0" max="12" min="12" style="1" width="22.69"/>
    <col collapsed="false" customWidth="true" hidden="false" outlineLevel="0" max="13" min="13" style="1" width="15.12"/>
    <col collapsed="false" customWidth="true" hidden="false" outlineLevel="0" max="14" min="14" style="1" width="30.24"/>
    <col collapsed="false" customWidth="true" hidden="false" outlineLevel="0" max="1025" min="15" style="1" width="10.77"/>
  </cols>
  <sheetData>
    <row r="1" customFormat="false" ht="16.4" hidden="false" customHeight="false" outlineLevel="0" collapsed="false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</row>
    <row r="2" customFormat="false" ht="16.4" hidden="false" customHeight="false" outlineLevel="0" collapsed="false">
      <c r="A2" s="3" t="s">
        <v>96</v>
      </c>
      <c r="B2" s="3" t="s">
        <v>97</v>
      </c>
      <c r="C2" s="3" t="s">
        <v>96</v>
      </c>
      <c r="D2" s="6" t="n">
        <v>110111</v>
      </c>
      <c r="E2" s="5"/>
      <c r="F2" s="5"/>
      <c r="G2" s="3" t="s">
        <v>98</v>
      </c>
      <c r="H2" s="3" t="s">
        <v>99</v>
      </c>
      <c r="I2" s="3" t="s">
        <v>100</v>
      </c>
      <c r="J2" s="3" t="s">
        <v>101</v>
      </c>
      <c r="K2" s="3" t="s">
        <v>102</v>
      </c>
      <c r="L2" s="3" t="s">
        <v>103</v>
      </c>
      <c r="M2" s="3" t="s">
        <v>104</v>
      </c>
      <c r="N2" s="3"/>
    </row>
    <row r="3" customFormat="false" ht="16.4" hidden="false" customHeight="false" outlineLevel="0" collapsed="false">
      <c r="A3" s="3" t="s">
        <v>96</v>
      </c>
      <c r="B3" s="3" t="s">
        <v>105</v>
      </c>
      <c r="C3" s="3" t="s">
        <v>96</v>
      </c>
      <c r="D3" s="6" t="n">
        <v>10111</v>
      </c>
      <c r="E3" s="5"/>
      <c r="F3" s="5"/>
      <c r="G3" s="3" t="s">
        <v>106</v>
      </c>
      <c r="H3" s="3" t="s">
        <v>107</v>
      </c>
      <c r="I3" s="3" t="s">
        <v>100</v>
      </c>
      <c r="J3" s="3" t="s">
        <v>101</v>
      </c>
      <c r="K3" s="3" t="s">
        <v>102</v>
      </c>
      <c r="L3" s="3" t="s">
        <v>108</v>
      </c>
      <c r="M3" s="3" t="s">
        <v>104</v>
      </c>
      <c r="N3" s="3"/>
    </row>
    <row r="4" customFormat="false" ht="16.4" hidden="false" customHeight="false" outlineLevel="0" collapsed="false">
      <c r="A4" s="3" t="s">
        <v>109</v>
      </c>
      <c r="B4" s="3" t="s">
        <v>110</v>
      </c>
      <c r="C4" s="3" t="s">
        <v>109</v>
      </c>
      <c r="D4" s="6" t="n">
        <v>1101111</v>
      </c>
      <c r="E4" s="5"/>
      <c r="F4" s="5"/>
      <c r="G4" s="3" t="s">
        <v>111</v>
      </c>
      <c r="H4" s="3" t="s">
        <v>112</v>
      </c>
      <c r="I4" s="3" t="s">
        <v>100</v>
      </c>
      <c r="J4" s="3" t="s">
        <v>101</v>
      </c>
      <c r="K4" s="3" t="s">
        <v>102</v>
      </c>
      <c r="L4" s="3" t="s">
        <v>113</v>
      </c>
      <c r="M4" s="3" t="s">
        <v>104</v>
      </c>
      <c r="N4" s="3"/>
    </row>
    <row r="5" customFormat="false" ht="16.4" hidden="false" customHeight="false" outlineLevel="0" collapsed="false">
      <c r="A5" s="3" t="s">
        <v>114</v>
      </c>
      <c r="B5" s="3" t="s">
        <v>115</v>
      </c>
      <c r="C5" s="3" t="s">
        <v>114</v>
      </c>
      <c r="D5" s="6" t="n">
        <v>1100111</v>
      </c>
      <c r="E5" s="7" t="n">
        <v>0</v>
      </c>
      <c r="F5" s="5"/>
      <c r="G5" s="3" t="s">
        <v>116</v>
      </c>
      <c r="H5" s="3" t="s">
        <v>117</v>
      </c>
      <c r="I5" s="3" t="s">
        <v>100</v>
      </c>
      <c r="J5" s="3" t="s">
        <v>101</v>
      </c>
      <c r="K5" s="3" t="s">
        <v>102</v>
      </c>
      <c r="L5" s="3" t="s">
        <v>113</v>
      </c>
      <c r="M5" s="3" t="s">
        <v>104</v>
      </c>
      <c r="N5" s="3"/>
    </row>
    <row r="6" customFormat="false" ht="16.4" hidden="false" customHeight="false" outlineLevel="0" collapsed="false">
      <c r="A6" s="3" t="s">
        <v>118</v>
      </c>
      <c r="B6" s="3" t="s">
        <v>119</v>
      </c>
      <c r="C6" s="3" t="s">
        <v>118</v>
      </c>
      <c r="D6" s="6" t="n">
        <v>1100011</v>
      </c>
      <c r="E6" s="7" t="n">
        <v>0</v>
      </c>
      <c r="F6" s="5"/>
      <c r="G6" s="3" t="s">
        <v>120</v>
      </c>
      <c r="H6" s="3" t="s">
        <v>121</v>
      </c>
      <c r="I6" s="3" t="s">
        <v>100</v>
      </c>
      <c r="J6" s="3" t="s">
        <v>101</v>
      </c>
      <c r="K6" s="3" t="s">
        <v>102</v>
      </c>
      <c r="L6" s="3" t="s">
        <v>122</v>
      </c>
      <c r="M6" s="3" t="s">
        <v>104</v>
      </c>
      <c r="N6" s="3"/>
    </row>
    <row r="7" customFormat="false" ht="16.4" hidden="false" customHeight="false" outlineLevel="0" collapsed="false">
      <c r="A7" s="3" t="s">
        <v>118</v>
      </c>
      <c r="B7" s="3" t="s">
        <v>123</v>
      </c>
      <c r="C7" s="3" t="s">
        <v>118</v>
      </c>
      <c r="D7" s="6" t="n">
        <v>1100011</v>
      </c>
      <c r="E7" s="7" t="n">
        <v>1</v>
      </c>
      <c r="F7" s="5"/>
      <c r="G7" s="3" t="s">
        <v>124</v>
      </c>
      <c r="H7" s="3" t="s">
        <v>121</v>
      </c>
      <c r="I7" s="3" t="s">
        <v>100</v>
      </c>
      <c r="J7" s="3" t="s">
        <v>101</v>
      </c>
      <c r="K7" s="3" t="s">
        <v>102</v>
      </c>
      <c r="L7" s="3" t="s">
        <v>122</v>
      </c>
      <c r="M7" s="3" t="s">
        <v>104</v>
      </c>
      <c r="N7" s="3"/>
    </row>
    <row r="8" customFormat="false" ht="16.4" hidden="false" customHeight="false" outlineLevel="0" collapsed="false">
      <c r="A8" s="3" t="s">
        <v>118</v>
      </c>
      <c r="B8" s="3" t="s">
        <v>125</v>
      </c>
      <c r="C8" s="3" t="s">
        <v>118</v>
      </c>
      <c r="D8" s="6" t="n">
        <v>1100011</v>
      </c>
      <c r="E8" s="7" t="n">
        <v>100</v>
      </c>
      <c r="F8" s="5"/>
      <c r="G8" s="3" t="s">
        <v>126</v>
      </c>
      <c r="H8" s="3" t="s">
        <v>127</v>
      </c>
      <c r="I8" s="3" t="s">
        <v>100</v>
      </c>
      <c r="J8" s="3" t="s">
        <v>101</v>
      </c>
      <c r="K8" s="3" t="s">
        <v>102</v>
      </c>
      <c r="L8" s="3" t="s">
        <v>128</v>
      </c>
      <c r="M8" s="3" t="s">
        <v>104</v>
      </c>
      <c r="N8" s="3"/>
    </row>
    <row r="9" customFormat="false" ht="16.4" hidden="false" customHeight="false" outlineLevel="0" collapsed="false">
      <c r="A9" s="3" t="s">
        <v>118</v>
      </c>
      <c r="B9" s="3" t="s">
        <v>129</v>
      </c>
      <c r="C9" s="3" t="s">
        <v>118</v>
      </c>
      <c r="D9" s="6" t="n">
        <v>1100011</v>
      </c>
      <c r="E9" s="7" t="n">
        <v>101</v>
      </c>
      <c r="F9" s="5"/>
      <c r="G9" s="3" t="s">
        <v>130</v>
      </c>
      <c r="H9" s="3" t="s">
        <v>127</v>
      </c>
      <c r="I9" s="3" t="s">
        <v>100</v>
      </c>
      <c r="J9" s="3" t="s">
        <v>101</v>
      </c>
      <c r="K9" s="3" t="s">
        <v>102</v>
      </c>
      <c r="L9" s="3" t="s">
        <v>128</v>
      </c>
      <c r="M9" s="3" t="s">
        <v>104</v>
      </c>
      <c r="N9" s="3"/>
    </row>
    <row r="10" customFormat="false" ht="16.4" hidden="false" customHeight="false" outlineLevel="0" collapsed="false">
      <c r="A10" s="3" t="s">
        <v>118</v>
      </c>
      <c r="B10" s="3" t="s">
        <v>131</v>
      </c>
      <c r="C10" s="3" t="s">
        <v>118</v>
      </c>
      <c r="D10" s="6" t="n">
        <v>1100011</v>
      </c>
      <c r="E10" s="7" t="n">
        <v>110</v>
      </c>
      <c r="F10" s="5"/>
      <c r="G10" s="3" t="s">
        <v>132</v>
      </c>
      <c r="H10" s="3" t="s">
        <v>133</v>
      </c>
      <c r="I10" s="3" t="s">
        <v>100</v>
      </c>
      <c r="J10" s="3" t="s">
        <v>101</v>
      </c>
      <c r="K10" s="3" t="s">
        <v>102</v>
      </c>
      <c r="L10" s="3" t="s">
        <v>128</v>
      </c>
      <c r="M10" s="3" t="s">
        <v>104</v>
      </c>
      <c r="N10" s="3"/>
    </row>
    <row r="11" customFormat="false" ht="16.4" hidden="false" customHeight="false" outlineLevel="0" collapsed="false">
      <c r="A11" s="3" t="s">
        <v>118</v>
      </c>
      <c r="B11" s="3" t="s">
        <v>134</v>
      </c>
      <c r="C11" s="3" t="s">
        <v>118</v>
      </c>
      <c r="D11" s="6" t="n">
        <v>1100011</v>
      </c>
      <c r="E11" s="7" t="n">
        <v>111</v>
      </c>
      <c r="F11" s="5"/>
      <c r="G11" s="3" t="s">
        <v>135</v>
      </c>
      <c r="H11" s="3" t="s">
        <v>133</v>
      </c>
      <c r="I11" s="3" t="s">
        <v>100</v>
      </c>
      <c r="J11" s="3" t="s">
        <v>101</v>
      </c>
      <c r="K11" s="3" t="s">
        <v>102</v>
      </c>
      <c r="L11" s="3" t="s">
        <v>128</v>
      </c>
      <c r="M11" s="3" t="s">
        <v>104</v>
      </c>
      <c r="N11" s="3"/>
    </row>
    <row r="12" customFormat="false" ht="16.4" hidden="false" customHeight="false" outlineLevel="0" collapsed="false">
      <c r="A12" s="3" t="s">
        <v>136</v>
      </c>
      <c r="B12" s="3" t="s">
        <v>137</v>
      </c>
      <c r="C12" s="3" t="s">
        <v>114</v>
      </c>
      <c r="D12" s="6" t="n">
        <v>11</v>
      </c>
      <c r="E12" s="7" t="n">
        <v>0</v>
      </c>
      <c r="F12" s="5"/>
      <c r="G12" s="3" t="s">
        <v>138</v>
      </c>
      <c r="H12" s="3" t="s">
        <v>139</v>
      </c>
      <c r="I12" s="3" t="s">
        <v>100</v>
      </c>
      <c r="J12" s="3" t="s">
        <v>101</v>
      </c>
      <c r="K12" s="3" t="s">
        <v>102</v>
      </c>
      <c r="L12" s="3" t="s">
        <v>140</v>
      </c>
      <c r="M12" s="3" t="s">
        <v>104</v>
      </c>
      <c r="N12" s="3"/>
    </row>
    <row r="13" customFormat="false" ht="16.4" hidden="false" customHeight="false" outlineLevel="0" collapsed="false">
      <c r="A13" s="3" t="s">
        <v>136</v>
      </c>
      <c r="B13" s="3" t="s">
        <v>141</v>
      </c>
      <c r="C13" s="3" t="s">
        <v>114</v>
      </c>
      <c r="D13" s="6" t="n">
        <v>11</v>
      </c>
      <c r="E13" s="7" t="n">
        <v>1</v>
      </c>
      <c r="F13" s="5"/>
      <c r="G13" s="3" t="s">
        <v>142</v>
      </c>
      <c r="H13" s="3" t="s">
        <v>139</v>
      </c>
      <c r="I13" s="3" t="s">
        <v>100</v>
      </c>
      <c r="J13" s="3" t="s">
        <v>101</v>
      </c>
      <c r="K13" s="3" t="s">
        <v>102</v>
      </c>
      <c r="L13" s="3" t="s">
        <v>140</v>
      </c>
      <c r="M13" s="3" t="s">
        <v>104</v>
      </c>
      <c r="N13" s="3"/>
    </row>
    <row r="14" customFormat="false" ht="16.4" hidden="false" customHeight="false" outlineLevel="0" collapsed="false">
      <c r="A14" s="3" t="s">
        <v>136</v>
      </c>
      <c r="B14" s="3" t="s">
        <v>143</v>
      </c>
      <c r="C14" s="3" t="s">
        <v>114</v>
      </c>
      <c r="D14" s="6" t="n">
        <v>11</v>
      </c>
      <c r="E14" s="7" t="n">
        <v>10</v>
      </c>
      <c r="F14" s="5"/>
      <c r="G14" s="3" t="s">
        <v>144</v>
      </c>
      <c r="H14" s="3" t="s">
        <v>145</v>
      </c>
      <c r="I14" s="3" t="s">
        <v>100</v>
      </c>
      <c r="J14" s="3" t="s">
        <v>101</v>
      </c>
      <c r="K14" s="3" t="s">
        <v>102</v>
      </c>
      <c r="L14" s="3" t="s">
        <v>140</v>
      </c>
      <c r="M14" s="3" t="s">
        <v>104</v>
      </c>
      <c r="N14" s="3"/>
    </row>
    <row r="15" customFormat="false" ht="16.4" hidden="false" customHeight="false" outlineLevel="0" collapsed="false">
      <c r="A15" s="3" t="s">
        <v>136</v>
      </c>
      <c r="B15" s="3" t="s">
        <v>146</v>
      </c>
      <c r="C15" s="3" t="s">
        <v>114</v>
      </c>
      <c r="D15" s="6" t="n">
        <v>11</v>
      </c>
      <c r="E15" s="7" t="n">
        <v>100</v>
      </c>
      <c r="F15" s="5"/>
      <c r="G15" s="3" t="s">
        <v>147</v>
      </c>
      <c r="H15" s="3" t="s">
        <v>148</v>
      </c>
      <c r="I15" s="3" t="s">
        <v>100</v>
      </c>
      <c r="J15" s="3" t="s">
        <v>101</v>
      </c>
      <c r="K15" s="3" t="s">
        <v>102</v>
      </c>
      <c r="L15" s="3" t="s">
        <v>140</v>
      </c>
      <c r="M15" s="3" t="s">
        <v>104</v>
      </c>
      <c r="N15" s="3"/>
    </row>
    <row r="16" customFormat="false" ht="16.4" hidden="false" customHeight="false" outlineLevel="0" collapsed="false">
      <c r="A16" s="3" t="s">
        <v>136</v>
      </c>
      <c r="B16" s="3" t="s">
        <v>149</v>
      </c>
      <c r="C16" s="3" t="s">
        <v>114</v>
      </c>
      <c r="D16" s="6" t="n">
        <v>11</v>
      </c>
      <c r="E16" s="7" t="n">
        <v>101</v>
      </c>
      <c r="F16" s="5"/>
      <c r="G16" s="3" t="s">
        <v>150</v>
      </c>
      <c r="H16" s="3" t="s">
        <v>148</v>
      </c>
      <c r="I16" s="3" t="s">
        <v>100</v>
      </c>
      <c r="J16" s="3" t="s">
        <v>101</v>
      </c>
      <c r="K16" s="3" t="s">
        <v>102</v>
      </c>
      <c r="L16" s="3" t="s">
        <v>140</v>
      </c>
      <c r="M16" s="3" t="s">
        <v>104</v>
      </c>
      <c r="N16" s="3"/>
    </row>
    <row r="17" customFormat="false" ht="16.4" hidden="false" customHeight="false" outlineLevel="0" collapsed="false">
      <c r="A17" s="3" t="s">
        <v>151</v>
      </c>
      <c r="B17" s="3" t="s">
        <v>152</v>
      </c>
      <c r="C17" s="3" t="s">
        <v>151</v>
      </c>
      <c r="D17" s="6" t="n">
        <v>100011</v>
      </c>
      <c r="E17" s="7" t="n">
        <v>0</v>
      </c>
      <c r="F17" s="5"/>
      <c r="G17" s="3" t="s">
        <v>153</v>
      </c>
      <c r="H17" s="3" t="s">
        <v>154</v>
      </c>
      <c r="I17" s="3" t="s">
        <v>100</v>
      </c>
      <c r="J17" s="3" t="s">
        <v>101</v>
      </c>
      <c r="K17" s="3" t="s">
        <v>102</v>
      </c>
      <c r="L17" s="3" t="s">
        <v>140</v>
      </c>
      <c r="M17" s="3" t="s">
        <v>104</v>
      </c>
      <c r="N17" s="3"/>
    </row>
    <row r="18" customFormat="false" ht="16.4" hidden="false" customHeight="false" outlineLevel="0" collapsed="false">
      <c r="A18" s="3" t="s">
        <v>151</v>
      </c>
      <c r="B18" s="3" t="s">
        <v>155</v>
      </c>
      <c r="C18" s="3" t="s">
        <v>151</v>
      </c>
      <c r="D18" s="6" t="n">
        <v>100011</v>
      </c>
      <c r="E18" s="7" t="n">
        <v>1</v>
      </c>
      <c r="F18" s="5"/>
      <c r="G18" s="3" t="s">
        <v>156</v>
      </c>
      <c r="H18" s="3" t="s">
        <v>154</v>
      </c>
      <c r="I18" s="3" t="s">
        <v>100</v>
      </c>
      <c r="J18" s="3" t="s">
        <v>101</v>
      </c>
      <c r="K18" s="3" t="s">
        <v>102</v>
      </c>
      <c r="L18" s="3" t="s">
        <v>140</v>
      </c>
      <c r="M18" s="3" t="s">
        <v>104</v>
      </c>
      <c r="N18" s="3"/>
    </row>
    <row r="19" customFormat="false" ht="16.4" hidden="false" customHeight="false" outlineLevel="0" collapsed="false">
      <c r="A19" s="3" t="s">
        <v>151</v>
      </c>
      <c r="B19" s="3" t="s">
        <v>157</v>
      </c>
      <c r="C19" s="3" t="s">
        <v>151</v>
      </c>
      <c r="D19" s="6" t="n">
        <v>100011</v>
      </c>
      <c r="E19" s="7" t="n">
        <v>10</v>
      </c>
      <c r="F19" s="5"/>
      <c r="G19" s="3" t="s">
        <v>158</v>
      </c>
      <c r="H19" s="3" t="s">
        <v>154</v>
      </c>
      <c r="I19" s="3" t="s">
        <v>100</v>
      </c>
      <c r="J19" s="3" t="s">
        <v>101</v>
      </c>
      <c r="K19" s="3" t="s">
        <v>102</v>
      </c>
      <c r="L19" s="3" t="s">
        <v>140</v>
      </c>
      <c r="M19" s="3" t="s">
        <v>104</v>
      </c>
      <c r="N19" s="3"/>
    </row>
    <row r="20" customFormat="false" ht="16.4" hidden="false" customHeight="false" outlineLevel="0" collapsed="false">
      <c r="A20" s="3" t="s">
        <v>159</v>
      </c>
      <c r="B20" s="3" t="s">
        <v>160</v>
      </c>
      <c r="C20" s="3" t="s">
        <v>114</v>
      </c>
      <c r="D20" s="6" t="n">
        <v>10011</v>
      </c>
      <c r="E20" s="7" t="n">
        <v>0</v>
      </c>
      <c r="F20" s="5"/>
      <c r="G20" s="3" t="s">
        <v>161</v>
      </c>
      <c r="H20" s="3" t="s">
        <v>162</v>
      </c>
      <c r="I20" s="3" t="s">
        <v>100</v>
      </c>
      <c r="J20" s="3" t="s">
        <v>101</v>
      </c>
      <c r="K20" s="3" t="s">
        <v>102</v>
      </c>
      <c r="L20" s="3" t="s">
        <v>163</v>
      </c>
      <c r="M20" s="3" t="s">
        <v>104</v>
      </c>
      <c r="N20" s="3"/>
    </row>
    <row r="21" customFormat="false" ht="16.4" hidden="false" customHeight="false" outlineLevel="0" collapsed="false">
      <c r="A21" s="3" t="s">
        <v>159</v>
      </c>
      <c r="B21" s="3" t="s">
        <v>164</v>
      </c>
      <c r="C21" s="3" t="s">
        <v>114</v>
      </c>
      <c r="D21" s="6" t="n">
        <v>10011</v>
      </c>
      <c r="E21" s="7" t="n">
        <v>10</v>
      </c>
      <c r="F21" s="5"/>
      <c r="G21" s="3" t="s">
        <v>165</v>
      </c>
      <c r="H21" s="3" t="s">
        <v>127</v>
      </c>
      <c r="I21" s="3" t="s">
        <v>100</v>
      </c>
      <c r="J21" s="3" t="s">
        <v>101</v>
      </c>
      <c r="K21" s="3" t="s">
        <v>102</v>
      </c>
      <c r="L21" s="3" t="s">
        <v>163</v>
      </c>
      <c r="M21" s="3" t="s">
        <v>166</v>
      </c>
      <c r="N21" s="3"/>
    </row>
    <row r="22" customFormat="false" ht="16.4" hidden="false" customHeight="false" outlineLevel="0" collapsed="false">
      <c r="A22" s="3" t="s">
        <v>159</v>
      </c>
      <c r="B22" s="3" t="s">
        <v>167</v>
      </c>
      <c r="C22" s="3" t="s">
        <v>114</v>
      </c>
      <c r="D22" s="6" t="n">
        <v>10011</v>
      </c>
      <c r="E22" s="7" t="n">
        <v>11</v>
      </c>
      <c r="F22" s="5"/>
      <c r="G22" s="3" t="s">
        <v>168</v>
      </c>
      <c r="H22" s="3" t="s">
        <v>133</v>
      </c>
      <c r="I22" s="3" t="s">
        <v>100</v>
      </c>
      <c r="J22" s="3" t="s">
        <v>101</v>
      </c>
      <c r="K22" s="3" t="s">
        <v>102</v>
      </c>
      <c r="L22" s="3" t="s">
        <v>163</v>
      </c>
      <c r="M22" s="3" t="s">
        <v>166</v>
      </c>
      <c r="N22" s="3"/>
    </row>
    <row r="23" customFormat="false" ht="16.4" hidden="false" customHeight="false" outlineLevel="0" collapsed="false">
      <c r="A23" s="3" t="s">
        <v>159</v>
      </c>
      <c r="B23" s="3" t="s">
        <v>169</v>
      </c>
      <c r="C23" s="3" t="s">
        <v>114</v>
      </c>
      <c r="D23" s="6" t="n">
        <v>10011</v>
      </c>
      <c r="E23" s="7" t="n">
        <v>100</v>
      </c>
      <c r="F23" s="5"/>
      <c r="G23" s="3" t="s">
        <v>170</v>
      </c>
      <c r="H23" s="3" t="s">
        <v>171</v>
      </c>
      <c r="I23" s="3" t="s">
        <v>100</v>
      </c>
      <c r="J23" s="3" t="s">
        <v>101</v>
      </c>
      <c r="K23" s="3" t="s">
        <v>102</v>
      </c>
      <c r="L23" s="3" t="s">
        <v>163</v>
      </c>
      <c r="M23" s="3" t="s">
        <v>166</v>
      </c>
      <c r="N23" s="3"/>
    </row>
    <row r="24" customFormat="false" ht="16.4" hidden="false" customHeight="false" outlineLevel="0" collapsed="false">
      <c r="A24" s="3" t="s">
        <v>159</v>
      </c>
      <c r="B24" s="3" t="s">
        <v>172</v>
      </c>
      <c r="C24" s="3" t="s">
        <v>114</v>
      </c>
      <c r="D24" s="6" t="n">
        <v>10011</v>
      </c>
      <c r="E24" s="7" t="n">
        <v>110</v>
      </c>
      <c r="F24" s="5"/>
      <c r="G24" s="3" t="s">
        <v>173</v>
      </c>
      <c r="H24" s="3" t="s">
        <v>171</v>
      </c>
      <c r="I24" s="3" t="s">
        <v>100</v>
      </c>
      <c r="J24" s="3" t="s">
        <v>101</v>
      </c>
      <c r="K24" s="3" t="s">
        <v>102</v>
      </c>
      <c r="L24" s="3" t="s">
        <v>163</v>
      </c>
      <c r="M24" s="3" t="s">
        <v>166</v>
      </c>
      <c r="N24" s="3"/>
    </row>
    <row r="25" customFormat="false" ht="16.4" hidden="false" customHeight="false" outlineLevel="0" collapsed="false">
      <c r="A25" s="3" t="s">
        <v>159</v>
      </c>
      <c r="B25" s="3" t="s">
        <v>174</v>
      </c>
      <c r="C25" s="3" t="s">
        <v>114</v>
      </c>
      <c r="D25" s="6" t="n">
        <v>10011</v>
      </c>
      <c r="E25" s="7" t="n">
        <v>111</v>
      </c>
      <c r="F25" s="5"/>
      <c r="G25" s="3" t="s">
        <v>175</v>
      </c>
      <c r="H25" s="3" t="s">
        <v>171</v>
      </c>
      <c r="I25" s="3" t="s">
        <v>100</v>
      </c>
      <c r="J25" s="3" t="s">
        <v>101</v>
      </c>
      <c r="K25" s="3" t="s">
        <v>102</v>
      </c>
      <c r="L25" s="3" t="s">
        <v>163</v>
      </c>
      <c r="M25" s="3" t="s">
        <v>166</v>
      </c>
      <c r="N25" s="3"/>
    </row>
    <row r="26" customFormat="false" ht="16.4" hidden="false" customHeight="false" outlineLevel="0" collapsed="false">
      <c r="A26" s="3" t="s">
        <v>159</v>
      </c>
      <c r="B26" s="3" t="s">
        <v>176</v>
      </c>
      <c r="C26" s="3" t="s">
        <v>114</v>
      </c>
      <c r="D26" s="6" t="n">
        <v>10011</v>
      </c>
      <c r="E26" s="7" t="n">
        <v>1</v>
      </c>
      <c r="F26" s="6" t="n">
        <v>0</v>
      </c>
      <c r="G26" s="3" t="s">
        <v>177</v>
      </c>
      <c r="H26" s="3" t="s">
        <v>178</v>
      </c>
      <c r="I26" s="3" t="s">
        <v>100</v>
      </c>
      <c r="J26" s="3" t="s">
        <v>101</v>
      </c>
      <c r="K26" s="3" t="s">
        <v>102</v>
      </c>
      <c r="L26" s="3" t="s">
        <v>163</v>
      </c>
      <c r="M26" s="3" t="s">
        <v>166</v>
      </c>
      <c r="N26" s="3"/>
    </row>
    <row r="27" customFormat="false" ht="16.4" hidden="false" customHeight="false" outlineLevel="0" collapsed="false">
      <c r="A27" s="3" t="s">
        <v>159</v>
      </c>
      <c r="B27" s="3" t="s">
        <v>179</v>
      </c>
      <c r="C27" s="3" t="s">
        <v>114</v>
      </c>
      <c r="D27" s="6" t="n">
        <v>10011</v>
      </c>
      <c r="E27" s="7" t="n">
        <v>101</v>
      </c>
      <c r="F27" s="6" t="n">
        <v>0</v>
      </c>
      <c r="G27" s="3" t="s">
        <v>180</v>
      </c>
      <c r="H27" s="3" t="s">
        <v>178</v>
      </c>
      <c r="I27" s="3" t="s">
        <v>100</v>
      </c>
      <c r="J27" s="3" t="s">
        <v>101</v>
      </c>
      <c r="K27" s="3" t="s">
        <v>102</v>
      </c>
      <c r="L27" s="3" t="s">
        <v>163</v>
      </c>
      <c r="M27" s="3" t="s">
        <v>166</v>
      </c>
      <c r="N27" s="3"/>
    </row>
    <row r="28" customFormat="false" ht="16.4" hidden="false" customHeight="false" outlineLevel="0" collapsed="false">
      <c r="A28" s="3" t="s">
        <v>159</v>
      </c>
      <c r="B28" s="3" t="s">
        <v>181</v>
      </c>
      <c r="C28" s="3" t="s">
        <v>114</v>
      </c>
      <c r="D28" s="6" t="n">
        <v>10011</v>
      </c>
      <c r="E28" s="7" t="n">
        <v>101</v>
      </c>
      <c r="F28" s="6" t="n">
        <v>100000</v>
      </c>
      <c r="G28" s="3" t="s">
        <v>182</v>
      </c>
      <c r="H28" s="3" t="s">
        <v>183</v>
      </c>
      <c r="I28" s="3" t="s">
        <v>100</v>
      </c>
      <c r="J28" s="3" t="s">
        <v>101</v>
      </c>
      <c r="K28" s="3" t="s">
        <v>102</v>
      </c>
      <c r="L28" s="3" t="s">
        <v>163</v>
      </c>
      <c r="M28" s="3" t="s">
        <v>166</v>
      </c>
      <c r="N28" s="3"/>
    </row>
    <row r="29" customFormat="false" ht="16.4" hidden="false" customHeight="false" outlineLevel="0" collapsed="false">
      <c r="A29" s="3" t="s">
        <v>184</v>
      </c>
      <c r="B29" s="3" t="s">
        <v>185</v>
      </c>
      <c r="C29" s="3" t="s">
        <v>184</v>
      </c>
      <c r="D29" s="6" t="n">
        <v>110011</v>
      </c>
      <c r="E29" s="7" t="n">
        <v>0</v>
      </c>
      <c r="F29" s="6" t="n">
        <v>0</v>
      </c>
      <c r="G29" s="3" t="s">
        <v>186</v>
      </c>
      <c r="H29" s="3" t="s">
        <v>162</v>
      </c>
      <c r="I29" s="3" t="s">
        <v>100</v>
      </c>
      <c r="J29" s="3" t="s">
        <v>101</v>
      </c>
      <c r="K29" s="3" t="s">
        <v>102</v>
      </c>
      <c r="L29" s="3" t="s">
        <v>163</v>
      </c>
      <c r="M29" s="3" t="s">
        <v>104</v>
      </c>
      <c r="N29" s="3"/>
    </row>
    <row r="30" customFormat="false" ht="16.4" hidden="false" customHeight="false" outlineLevel="0" collapsed="false">
      <c r="A30" s="3" t="s">
        <v>184</v>
      </c>
      <c r="B30" s="3" t="s">
        <v>187</v>
      </c>
      <c r="C30" s="3" t="s">
        <v>184</v>
      </c>
      <c r="D30" s="6" t="n">
        <v>110011</v>
      </c>
      <c r="E30" s="7" t="n">
        <v>0</v>
      </c>
      <c r="F30" s="6" t="n">
        <v>100000</v>
      </c>
      <c r="G30" s="3" t="s">
        <v>188</v>
      </c>
      <c r="H30" s="3" t="s">
        <v>189</v>
      </c>
      <c r="I30" s="3" t="s">
        <v>100</v>
      </c>
      <c r="J30" s="3" t="s">
        <v>101</v>
      </c>
      <c r="K30" s="3" t="s">
        <v>102</v>
      </c>
      <c r="L30" s="3" t="s">
        <v>163</v>
      </c>
      <c r="M30" s="3" t="s">
        <v>104</v>
      </c>
      <c r="N30" s="3"/>
    </row>
    <row r="31" customFormat="false" ht="16.4" hidden="false" customHeight="false" outlineLevel="0" collapsed="false">
      <c r="A31" s="3" t="s">
        <v>184</v>
      </c>
      <c r="B31" s="3" t="s">
        <v>190</v>
      </c>
      <c r="C31" s="3" t="s">
        <v>184</v>
      </c>
      <c r="D31" s="6" t="n">
        <v>110011</v>
      </c>
      <c r="E31" s="7" t="n">
        <v>1</v>
      </c>
      <c r="F31" s="6" t="n">
        <v>0</v>
      </c>
      <c r="G31" s="3" t="s">
        <v>191</v>
      </c>
      <c r="H31" s="3" t="s">
        <v>178</v>
      </c>
      <c r="I31" s="3" t="s">
        <v>100</v>
      </c>
      <c r="J31" s="3" t="s">
        <v>101</v>
      </c>
      <c r="K31" s="3" t="s">
        <v>102</v>
      </c>
      <c r="L31" s="3" t="s">
        <v>163</v>
      </c>
      <c r="M31" s="3" t="s">
        <v>166</v>
      </c>
      <c r="N31" s="3"/>
    </row>
    <row r="32" customFormat="false" ht="16.4" hidden="false" customHeight="false" outlineLevel="0" collapsed="false">
      <c r="A32" s="3" t="s">
        <v>184</v>
      </c>
      <c r="B32" s="3" t="s">
        <v>192</v>
      </c>
      <c r="C32" s="3" t="s">
        <v>184</v>
      </c>
      <c r="D32" s="6" t="n">
        <v>110011</v>
      </c>
      <c r="E32" s="7" t="n">
        <v>10</v>
      </c>
      <c r="F32" s="6" t="n">
        <v>0</v>
      </c>
      <c r="G32" s="3" t="s">
        <v>193</v>
      </c>
      <c r="H32" s="3" t="s">
        <v>127</v>
      </c>
      <c r="I32" s="3" t="s">
        <v>100</v>
      </c>
      <c r="J32" s="3" t="s">
        <v>101</v>
      </c>
      <c r="K32" s="3" t="s">
        <v>102</v>
      </c>
      <c r="L32" s="3" t="s">
        <v>163</v>
      </c>
      <c r="M32" s="3" t="s">
        <v>166</v>
      </c>
      <c r="N32" s="3"/>
    </row>
    <row r="33" customFormat="false" ht="16.4" hidden="false" customHeight="false" outlineLevel="0" collapsed="false">
      <c r="A33" s="3" t="s">
        <v>184</v>
      </c>
      <c r="B33" s="3" t="s">
        <v>194</v>
      </c>
      <c r="C33" s="3" t="s">
        <v>184</v>
      </c>
      <c r="D33" s="6" t="n">
        <v>110011</v>
      </c>
      <c r="E33" s="7" t="n">
        <v>11</v>
      </c>
      <c r="F33" s="6" t="n">
        <v>0</v>
      </c>
      <c r="G33" s="3" t="s">
        <v>195</v>
      </c>
      <c r="H33" s="3" t="s">
        <v>133</v>
      </c>
      <c r="I33" s="3" t="s">
        <v>100</v>
      </c>
      <c r="J33" s="3" t="s">
        <v>101</v>
      </c>
      <c r="K33" s="3" t="s">
        <v>102</v>
      </c>
      <c r="L33" s="3" t="s">
        <v>163</v>
      </c>
      <c r="M33" s="3" t="s">
        <v>166</v>
      </c>
      <c r="N33" s="3"/>
    </row>
    <row r="34" customFormat="false" ht="16.4" hidden="false" customHeight="false" outlineLevel="0" collapsed="false">
      <c r="A34" s="3" t="s">
        <v>184</v>
      </c>
      <c r="B34" s="3" t="s">
        <v>196</v>
      </c>
      <c r="C34" s="3" t="s">
        <v>184</v>
      </c>
      <c r="D34" s="6" t="n">
        <v>110011</v>
      </c>
      <c r="E34" s="7" t="n">
        <v>100</v>
      </c>
      <c r="F34" s="6" t="n">
        <v>0</v>
      </c>
      <c r="G34" s="3" t="s">
        <v>197</v>
      </c>
      <c r="H34" s="3" t="s">
        <v>171</v>
      </c>
      <c r="I34" s="3" t="s">
        <v>100</v>
      </c>
      <c r="J34" s="3" t="s">
        <v>101</v>
      </c>
      <c r="K34" s="3" t="s">
        <v>102</v>
      </c>
      <c r="L34" s="3" t="s">
        <v>163</v>
      </c>
      <c r="M34" s="3" t="s">
        <v>166</v>
      </c>
      <c r="N34" s="3"/>
    </row>
    <row r="35" customFormat="false" ht="16.4" hidden="false" customHeight="false" outlineLevel="0" collapsed="false">
      <c r="A35" s="3" t="s">
        <v>184</v>
      </c>
      <c r="B35" s="3" t="s">
        <v>198</v>
      </c>
      <c r="C35" s="3" t="s">
        <v>184</v>
      </c>
      <c r="D35" s="6" t="n">
        <v>110011</v>
      </c>
      <c r="E35" s="7" t="n">
        <v>101</v>
      </c>
      <c r="F35" s="6" t="n">
        <v>0</v>
      </c>
      <c r="G35" s="3" t="s">
        <v>199</v>
      </c>
      <c r="H35" s="3" t="s">
        <v>178</v>
      </c>
      <c r="I35" s="3" t="s">
        <v>100</v>
      </c>
      <c r="J35" s="3" t="s">
        <v>101</v>
      </c>
      <c r="K35" s="3" t="s">
        <v>102</v>
      </c>
      <c r="L35" s="3" t="s">
        <v>163</v>
      </c>
      <c r="M35" s="3" t="s">
        <v>166</v>
      </c>
      <c r="N35" s="3"/>
    </row>
    <row r="36" customFormat="false" ht="16.4" hidden="false" customHeight="false" outlineLevel="0" collapsed="false">
      <c r="A36" s="3" t="s">
        <v>184</v>
      </c>
      <c r="B36" s="3" t="s">
        <v>200</v>
      </c>
      <c r="C36" s="3" t="s">
        <v>184</v>
      </c>
      <c r="D36" s="6" t="n">
        <v>110011</v>
      </c>
      <c r="E36" s="7" t="n">
        <v>101</v>
      </c>
      <c r="F36" s="6" t="n">
        <v>100000</v>
      </c>
      <c r="G36" s="3" t="s">
        <v>201</v>
      </c>
      <c r="H36" s="3" t="s">
        <v>183</v>
      </c>
      <c r="I36" s="3" t="s">
        <v>100</v>
      </c>
      <c r="J36" s="3" t="s">
        <v>101</v>
      </c>
      <c r="K36" s="3" t="s">
        <v>102</v>
      </c>
      <c r="L36" s="3" t="s">
        <v>163</v>
      </c>
      <c r="M36" s="3" t="s">
        <v>166</v>
      </c>
      <c r="N36" s="3"/>
    </row>
    <row r="37" customFormat="false" ht="16.4" hidden="false" customHeight="false" outlineLevel="0" collapsed="false">
      <c r="A37" s="3" t="s">
        <v>184</v>
      </c>
      <c r="B37" s="3" t="s">
        <v>202</v>
      </c>
      <c r="C37" s="3" t="s">
        <v>184</v>
      </c>
      <c r="D37" s="6" t="n">
        <v>110011</v>
      </c>
      <c r="E37" s="7" t="n">
        <v>110</v>
      </c>
      <c r="F37" s="6" t="n">
        <v>0</v>
      </c>
      <c r="G37" s="3" t="s">
        <v>203</v>
      </c>
      <c r="H37" s="3" t="s">
        <v>171</v>
      </c>
      <c r="I37" s="3" t="s">
        <v>100</v>
      </c>
      <c r="J37" s="3" t="s">
        <v>101</v>
      </c>
      <c r="K37" s="3" t="s">
        <v>102</v>
      </c>
      <c r="L37" s="3" t="s">
        <v>163</v>
      </c>
      <c r="M37" s="3" t="s">
        <v>166</v>
      </c>
      <c r="N37" s="3"/>
    </row>
    <row r="38" customFormat="false" ht="16.4" hidden="false" customHeight="false" outlineLevel="0" collapsed="false">
      <c r="A38" s="3" t="s">
        <v>184</v>
      </c>
      <c r="B38" s="3" t="s">
        <v>204</v>
      </c>
      <c r="C38" s="3" t="s">
        <v>184</v>
      </c>
      <c r="D38" s="6" t="n">
        <v>110011</v>
      </c>
      <c r="E38" s="7" t="n">
        <v>111</v>
      </c>
      <c r="F38" s="6" t="n">
        <v>0</v>
      </c>
      <c r="G38" s="3" t="s">
        <v>205</v>
      </c>
      <c r="H38" s="3" t="s">
        <v>171</v>
      </c>
      <c r="I38" s="3" t="s">
        <v>100</v>
      </c>
      <c r="J38" s="3" t="s">
        <v>101</v>
      </c>
      <c r="K38" s="3" t="s">
        <v>102</v>
      </c>
      <c r="L38" s="3" t="s">
        <v>163</v>
      </c>
      <c r="M38" s="3" t="s">
        <v>166</v>
      </c>
      <c r="N38" s="3"/>
    </row>
    <row r="39" customFormat="false" ht="31.3" hidden="false" customHeight="false" outlineLevel="0" collapsed="false">
      <c r="A39" s="3" t="s">
        <v>206</v>
      </c>
      <c r="B39" s="3" t="s">
        <v>207</v>
      </c>
      <c r="C39" s="3" t="s">
        <v>114</v>
      </c>
      <c r="D39" s="6" t="n">
        <v>1111</v>
      </c>
      <c r="E39" s="7" t="n">
        <v>0</v>
      </c>
      <c r="F39" s="5"/>
      <c r="G39" s="3" t="s">
        <v>208</v>
      </c>
      <c r="H39" s="3" t="s">
        <v>209</v>
      </c>
      <c r="I39" s="3" t="s">
        <v>100</v>
      </c>
      <c r="J39" s="3" t="s">
        <v>210</v>
      </c>
      <c r="K39" s="3" t="s">
        <v>102</v>
      </c>
      <c r="L39" s="3" t="s">
        <v>211</v>
      </c>
      <c r="M39" s="3" t="s">
        <v>212</v>
      </c>
      <c r="N39" s="3"/>
    </row>
    <row r="40" customFormat="false" ht="16.4" hidden="false" customHeight="false" outlineLevel="0" collapsed="false">
      <c r="A40" s="3" t="s">
        <v>206</v>
      </c>
      <c r="B40" s="3" t="s">
        <v>213</v>
      </c>
      <c r="C40" s="3" t="s">
        <v>114</v>
      </c>
      <c r="D40" s="6" t="n">
        <v>1110011</v>
      </c>
      <c r="E40" s="7" t="n">
        <v>0</v>
      </c>
      <c r="F40" s="8" t="n">
        <v>0</v>
      </c>
      <c r="G40" s="3" t="s">
        <v>214</v>
      </c>
      <c r="H40" s="3" t="s">
        <v>215</v>
      </c>
      <c r="I40" s="3" t="s">
        <v>100</v>
      </c>
      <c r="J40" s="3" t="s">
        <v>210</v>
      </c>
      <c r="K40" s="3" t="s">
        <v>102</v>
      </c>
      <c r="L40" s="3" t="s">
        <v>216</v>
      </c>
      <c r="M40" s="3" t="s">
        <v>104</v>
      </c>
      <c r="N40" s="3"/>
    </row>
    <row r="41" customFormat="false" ht="16.4" hidden="false" customHeight="false" outlineLevel="0" collapsed="false">
      <c r="A41" s="3" t="s">
        <v>206</v>
      </c>
      <c r="B41" s="3" t="s">
        <v>217</v>
      </c>
      <c r="C41" s="3" t="s">
        <v>114</v>
      </c>
      <c r="D41" s="6" t="n">
        <v>1110011</v>
      </c>
      <c r="E41" s="7" t="n">
        <v>0</v>
      </c>
      <c r="F41" s="8" t="n">
        <v>1</v>
      </c>
      <c r="G41" s="3" t="s">
        <v>218</v>
      </c>
      <c r="H41" s="3" t="s">
        <v>215</v>
      </c>
      <c r="I41" s="3" t="s">
        <v>100</v>
      </c>
      <c r="J41" s="3" t="s">
        <v>210</v>
      </c>
      <c r="K41" s="3" t="s">
        <v>102</v>
      </c>
      <c r="L41" s="3" t="s">
        <v>216</v>
      </c>
      <c r="M41" s="3" t="s">
        <v>104</v>
      </c>
      <c r="N41" s="3"/>
    </row>
  </sheetData>
  <conditionalFormatting sqref="K2:K41">
    <cfRule type="expression" priority="2" aboveAverage="0" equalAverage="0" bottom="0" percent="0" rank="0" text="" dxfId="0">
      <formula>K2="Completado"</formula>
    </cfRule>
    <cfRule type="expression" priority="3" aboveAverage="0" equalAverage="0" bottom="0" percent="0" rank="0" text="" dxfId="0">
      <formula>K2="En progreso"</formula>
    </cfRule>
    <cfRule type="expression" priority="4" aboveAverage="0" equalAverage="0" bottom="0" percent="0" rank="0" text="" dxfId="0">
      <formula>K2="Bloqueado"</formula>
    </cfRule>
    <cfRule type="expression" priority="5" aboveAverage="0" equalAverage="0" bottom="0" percent="0" rank="0" text="" dxfId="1">
      <formula>K2="No iniciado"</formula>
    </cfRule>
    <cfRule type="expression" priority="6" aboveAverage="0" equalAverage="0" bottom="0" percent="0" rank="0" text="" dxfId="2">
      <formula>K2="N/A"</formula>
    </cfRule>
  </conditionalFormatting>
  <dataValidations count="2">
    <dataValidation allowBlank="false" errorStyle="stop" operator="between" showDropDown="false" showErrorMessage="false" showInputMessage="false" sqref="K2:K41" type="list">
      <formula1>Listas!$A$2:$A$6</formula1>
      <formula2>0</formula2>
    </dataValidation>
    <dataValidation allowBlank="false" errorStyle="stop" operator="between" showDropDown="false" showErrorMessage="false" showInputMessage="false" sqref="M2:M41" type="list">
      <formula1>Listas!$B$2:$B$5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true" showOutlineSymbols="true" defaultGridColor="true" view="normal" topLeftCell="A55" colorId="64" zoomScale="80" zoomScaleNormal="80" zoomScalePageLayoutView="100" workbookViewId="0">
      <selection pane="topLeft" activeCell="D63" activeCellId="0" sqref="D6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19.08"/>
    <col collapsed="false" customWidth="true" hidden="false" outlineLevel="0" max="3" min="3" style="1" width="17.82"/>
    <col collapsed="false" customWidth="true" hidden="false" outlineLevel="0" max="4" min="4" style="1" width="72.98"/>
    <col collapsed="false" customWidth="true" hidden="false" outlineLevel="0" max="5" min="5" style="1" width="36.3"/>
    <col collapsed="false" customWidth="true" hidden="false" outlineLevel="0" max="6" min="6" style="1" width="33.52"/>
    <col collapsed="false" customWidth="true" hidden="false" outlineLevel="0" max="7" min="7" style="1" width="101.89"/>
    <col collapsed="false" customWidth="true" hidden="false" outlineLevel="0" max="8" min="8" style="1" width="13.33"/>
    <col collapsed="false" customWidth="true" hidden="false" outlineLevel="0" max="9" min="9" style="1" width="20.93"/>
    <col collapsed="false" customWidth="true" hidden="false" outlineLevel="0" max="10" min="10" style="1" width="15.3"/>
    <col collapsed="false" customWidth="true" hidden="false" outlineLevel="0" max="11" min="11" style="1" width="12.42"/>
    <col collapsed="false" customWidth="true" hidden="false" outlineLevel="0" max="12" min="12" style="1" width="26.09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4" t="s">
        <v>219</v>
      </c>
      <c r="B1" s="4" t="s">
        <v>220</v>
      </c>
      <c r="C1" s="4" t="s">
        <v>221</v>
      </c>
      <c r="D1" s="4" t="s">
        <v>222</v>
      </c>
      <c r="E1" s="4" t="s">
        <v>223</v>
      </c>
      <c r="F1" s="4" t="s">
        <v>224</v>
      </c>
      <c r="G1" s="4" t="s">
        <v>225</v>
      </c>
      <c r="H1" s="4" t="s">
        <v>226</v>
      </c>
      <c r="I1" s="4" t="s">
        <v>227</v>
      </c>
      <c r="J1" s="4" t="s">
        <v>92</v>
      </c>
      <c r="K1" s="4" t="s">
        <v>94</v>
      </c>
      <c r="L1" s="4" t="s">
        <v>228</v>
      </c>
    </row>
    <row r="2" customFormat="false" ht="16.4" hidden="false" customHeight="false" outlineLevel="0" collapsed="false">
      <c r="A2" s="5" t="s">
        <v>229</v>
      </c>
      <c r="B2" s="3" t="s">
        <v>230</v>
      </c>
      <c r="C2" s="3" t="s">
        <v>231</v>
      </c>
      <c r="D2" s="3" t="s">
        <v>232</v>
      </c>
      <c r="E2" s="9" t="s">
        <v>233</v>
      </c>
      <c r="F2" s="3" t="s">
        <v>234</v>
      </c>
      <c r="G2" s="3" t="s">
        <v>235</v>
      </c>
      <c r="H2" s="3" t="s">
        <v>236</v>
      </c>
      <c r="I2" s="3" t="s">
        <v>37</v>
      </c>
      <c r="J2" s="3" t="s">
        <v>102</v>
      </c>
      <c r="K2" s="3" t="s">
        <v>237</v>
      </c>
      <c r="L2" s="10" t="s">
        <v>238</v>
      </c>
      <c r="M2" s="11" t="s">
        <v>239</v>
      </c>
    </row>
    <row r="3" customFormat="false" ht="16.4" hidden="false" customHeight="false" outlineLevel="0" collapsed="false">
      <c r="A3" s="5" t="s">
        <v>240</v>
      </c>
      <c r="B3" s="3" t="s">
        <v>230</v>
      </c>
      <c r="C3" s="3" t="s">
        <v>241</v>
      </c>
      <c r="D3" s="3" t="s">
        <v>242</v>
      </c>
      <c r="E3" s="3" t="s">
        <v>243</v>
      </c>
      <c r="F3" s="3" t="s">
        <v>244</v>
      </c>
      <c r="G3" s="3" t="s">
        <v>245</v>
      </c>
      <c r="H3" s="3" t="s">
        <v>236</v>
      </c>
      <c r="I3" s="3" t="s">
        <v>37</v>
      </c>
      <c r="J3" s="3" t="s">
        <v>102</v>
      </c>
      <c r="K3" s="3" t="s">
        <v>237</v>
      </c>
      <c r="L3" s="12"/>
      <c r="M3" s="13"/>
    </row>
    <row r="4" customFormat="false" ht="16.4" hidden="false" customHeight="false" outlineLevel="0" collapsed="false">
      <c r="A4" s="5" t="s">
        <v>246</v>
      </c>
      <c r="B4" s="3" t="s">
        <v>230</v>
      </c>
      <c r="C4" s="3" t="s">
        <v>247</v>
      </c>
      <c r="D4" s="3" t="s">
        <v>248</v>
      </c>
      <c r="E4" s="3" t="s">
        <v>249</v>
      </c>
      <c r="F4" s="3" t="s">
        <v>250</v>
      </c>
      <c r="G4" s="3" t="s">
        <v>251</v>
      </c>
      <c r="H4" s="3" t="s">
        <v>236</v>
      </c>
      <c r="I4" s="3" t="s">
        <v>37</v>
      </c>
      <c r="J4" s="3" t="s">
        <v>102</v>
      </c>
      <c r="K4" s="3" t="s">
        <v>237</v>
      </c>
      <c r="L4" s="12"/>
      <c r="M4" s="13"/>
    </row>
    <row r="5" customFormat="false" ht="16.4" hidden="false" customHeight="false" outlineLevel="0" collapsed="false">
      <c r="A5" s="5" t="s">
        <v>252</v>
      </c>
      <c r="B5" s="3" t="s">
        <v>253</v>
      </c>
      <c r="C5" s="3" t="s">
        <v>254</v>
      </c>
      <c r="D5" s="3" t="s">
        <v>255</v>
      </c>
      <c r="E5" s="3" t="s">
        <v>256</v>
      </c>
      <c r="F5" s="3" t="s">
        <v>257</v>
      </c>
      <c r="G5" s="3" t="s">
        <v>258</v>
      </c>
      <c r="H5" s="3" t="s">
        <v>236</v>
      </c>
      <c r="I5" s="3" t="s">
        <v>37</v>
      </c>
      <c r="J5" s="3" t="s">
        <v>102</v>
      </c>
      <c r="K5" s="3" t="s">
        <v>104</v>
      </c>
      <c r="L5" s="12"/>
      <c r="M5" s="13"/>
    </row>
    <row r="6" customFormat="false" ht="16.4" hidden="false" customHeight="false" outlineLevel="0" collapsed="false">
      <c r="A6" s="5" t="s">
        <v>259</v>
      </c>
      <c r="B6" s="3" t="s">
        <v>253</v>
      </c>
      <c r="C6" s="3" t="s">
        <v>254</v>
      </c>
      <c r="D6" s="3" t="s">
        <v>260</v>
      </c>
      <c r="E6" s="3" t="s">
        <v>261</v>
      </c>
      <c r="F6" s="3" t="s">
        <v>262</v>
      </c>
      <c r="G6" s="3" t="s">
        <v>263</v>
      </c>
      <c r="H6" s="3" t="s">
        <v>236</v>
      </c>
      <c r="I6" s="3" t="s">
        <v>37</v>
      </c>
      <c r="J6" s="3" t="s">
        <v>102</v>
      </c>
      <c r="K6" s="3" t="s">
        <v>237</v>
      </c>
      <c r="L6" s="12"/>
      <c r="M6" s="13"/>
    </row>
    <row r="7" customFormat="false" ht="16.4" hidden="false" customHeight="false" outlineLevel="0" collapsed="false">
      <c r="A7" s="5" t="s">
        <v>264</v>
      </c>
      <c r="B7" s="3" t="s">
        <v>265</v>
      </c>
      <c r="C7" s="3" t="s">
        <v>266</v>
      </c>
      <c r="D7" s="3" t="s">
        <v>267</v>
      </c>
      <c r="E7" s="3" t="s">
        <v>268</v>
      </c>
      <c r="F7" s="3" t="s">
        <v>269</v>
      </c>
      <c r="G7" s="3" t="s">
        <v>270</v>
      </c>
      <c r="H7" s="3" t="s">
        <v>236</v>
      </c>
      <c r="I7" s="3" t="s">
        <v>37</v>
      </c>
      <c r="J7" s="3" t="s">
        <v>102</v>
      </c>
      <c r="K7" s="3" t="s">
        <v>104</v>
      </c>
      <c r="L7" s="12"/>
      <c r="M7" s="13"/>
    </row>
    <row r="8" customFormat="false" ht="16.4" hidden="false" customHeight="false" outlineLevel="0" collapsed="false">
      <c r="A8" s="5" t="s">
        <v>271</v>
      </c>
      <c r="B8" s="3" t="s">
        <v>272</v>
      </c>
      <c r="C8" s="3" t="s">
        <v>273</v>
      </c>
      <c r="D8" s="3" t="s">
        <v>274</v>
      </c>
      <c r="E8" s="3" t="s">
        <v>275</v>
      </c>
      <c r="F8" s="3" t="s">
        <v>276</v>
      </c>
      <c r="G8" s="3" t="s">
        <v>277</v>
      </c>
      <c r="H8" s="3" t="s">
        <v>278</v>
      </c>
      <c r="I8" s="3" t="s">
        <v>37</v>
      </c>
      <c r="J8" s="3" t="s">
        <v>102</v>
      </c>
      <c r="K8" s="3" t="s">
        <v>237</v>
      </c>
      <c r="L8" s="12"/>
      <c r="M8" s="13"/>
    </row>
    <row r="9" customFormat="false" ht="16.4" hidden="false" customHeight="false" outlineLevel="0" collapsed="false">
      <c r="A9" s="5" t="s">
        <v>279</v>
      </c>
      <c r="B9" s="3" t="s">
        <v>280</v>
      </c>
      <c r="C9" s="3" t="s">
        <v>281</v>
      </c>
      <c r="D9" s="3" t="s">
        <v>282</v>
      </c>
      <c r="E9" s="3" t="s">
        <v>283</v>
      </c>
      <c r="F9" s="3" t="s">
        <v>284</v>
      </c>
      <c r="G9" s="3" t="s">
        <v>285</v>
      </c>
      <c r="H9" s="3" t="s">
        <v>236</v>
      </c>
      <c r="I9" s="3" t="s">
        <v>37</v>
      </c>
      <c r="J9" s="3" t="s">
        <v>102</v>
      </c>
      <c r="K9" s="3" t="s">
        <v>104</v>
      </c>
      <c r="L9" s="12"/>
      <c r="M9" s="13"/>
    </row>
    <row r="10" customFormat="false" ht="16.4" hidden="false" customHeight="false" outlineLevel="0" collapsed="false">
      <c r="A10" s="5" t="s">
        <v>286</v>
      </c>
      <c r="B10" s="3" t="s">
        <v>163</v>
      </c>
      <c r="C10" s="3" t="s">
        <v>287</v>
      </c>
      <c r="D10" s="3" t="s">
        <v>288</v>
      </c>
      <c r="E10" s="3" t="s">
        <v>289</v>
      </c>
      <c r="F10" s="3" t="s">
        <v>290</v>
      </c>
      <c r="G10" s="3" t="s">
        <v>291</v>
      </c>
      <c r="H10" s="3" t="s">
        <v>236</v>
      </c>
      <c r="I10" s="3" t="s">
        <v>37</v>
      </c>
      <c r="J10" s="3" t="s">
        <v>102</v>
      </c>
      <c r="K10" s="3" t="s">
        <v>104</v>
      </c>
      <c r="L10" s="12"/>
      <c r="M10" s="13"/>
    </row>
    <row r="11" customFormat="false" ht="16.4" hidden="false" customHeight="false" outlineLevel="0" collapsed="false">
      <c r="A11" s="5" t="s">
        <v>292</v>
      </c>
      <c r="B11" s="3" t="s">
        <v>122</v>
      </c>
      <c r="C11" s="3" t="s">
        <v>54</v>
      </c>
      <c r="D11" s="3" t="s">
        <v>293</v>
      </c>
      <c r="E11" s="3" t="s">
        <v>294</v>
      </c>
      <c r="F11" s="3" t="s">
        <v>295</v>
      </c>
      <c r="G11" s="3" t="s">
        <v>296</v>
      </c>
      <c r="H11" s="3" t="s">
        <v>236</v>
      </c>
      <c r="I11" s="3" t="s">
        <v>37</v>
      </c>
      <c r="J11" s="3" t="s">
        <v>102</v>
      </c>
      <c r="K11" s="3" t="s">
        <v>104</v>
      </c>
      <c r="L11" s="12"/>
      <c r="M11" s="13"/>
    </row>
    <row r="12" customFormat="false" ht="16.4" hidden="false" customHeight="false" outlineLevel="0" collapsed="false">
      <c r="A12" s="5" t="s">
        <v>297</v>
      </c>
      <c r="B12" s="3" t="s">
        <v>298</v>
      </c>
      <c r="C12" s="3" t="s">
        <v>54</v>
      </c>
      <c r="D12" s="3" t="s">
        <v>299</v>
      </c>
      <c r="E12" s="3" t="s">
        <v>300</v>
      </c>
      <c r="F12" s="3" t="s">
        <v>301</v>
      </c>
      <c r="G12" s="3" t="s">
        <v>302</v>
      </c>
      <c r="H12" s="3" t="s">
        <v>236</v>
      </c>
      <c r="I12" s="3" t="s">
        <v>37</v>
      </c>
      <c r="J12" s="3" t="s">
        <v>102</v>
      </c>
      <c r="K12" s="3" t="s">
        <v>104</v>
      </c>
      <c r="L12" s="12"/>
      <c r="M12" s="13"/>
    </row>
    <row r="13" customFormat="false" ht="16.4" hidden="false" customHeight="false" outlineLevel="0" collapsed="false">
      <c r="A13" s="5" t="s">
        <v>303</v>
      </c>
      <c r="B13" s="3" t="s">
        <v>298</v>
      </c>
      <c r="C13" s="3" t="s">
        <v>54</v>
      </c>
      <c r="D13" s="3" t="s">
        <v>304</v>
      </c>
      <c r="E13" s="3" t="s">
        <v>305</v>
      </c>
      <c r="F13" s="3" t="s">
        <v>306</v>
      </c>
      <c r="G13" s="3" t="s">
        <v>307</v>
      </c>
      <c r="H13" s="3" t="s">
        <v>236</v>
      </c>
      <c r="I13" s="3" t="s">
        <v>37</v>
      </c>
      <c r="J13" s="3" t="s">
        <v>102</v>
      </c>
      <c r="K13" s="3" t="s">
        <v>104</v>
      </c>
      <c r="L13" s="12"/>
      <c r="M13" s="13"/>
    </row>
    <row r="14" customFormat="false" ht="16.4" hidden="false" customHeight="false" outlineLevel="0" collapsed="false">
      <c r="A14" s="5" t="s">
        <v>308</v>
      </c>
      <c r="B14" s="3" t="s">
        <v>309</v>
      </c>
      <c r="C14" s="3" t="s">
        <v>310</v>
      </c>
      <c r="D14" s="3" t="s">
        <v>311</v>
      </c>
      <c r="E14" s="3" t="s">
        <v>312</v>
      </c>
      <c r="F14" s="3" t="s">
        <v>313</v>
      </c>
      <c r="G14" s="3" t="s">
        <v>314</v>
      </c>
      <c r="H14" s="3" t="s">
        <v>236</v>
      </c>
      <c r="I14" s="3" t="s">
        <v>37</v>
      </c>
      <c r="J14" s="3" t="s">
        <v>102</v>
      </c>
      <c r="K14" s="3" t="s">
        <v>237</v>
      </c>
      <c r="L14" s="12"/>
      <c r="M14" s="13"/>
    </row>
    <row r="15" customFormat="false" ht="16.4" hidden="false" customHeight="false" outlineLevel="0" collapsed="false">
      <c r="A15" s="5" t="s">
        <v>315</v>
      </c>
      <c r="B15" s="3" t="s">
        <v>309</v>
      </c>
      <c r="C15" s="3" t="s">
        <v>316</v>
      </c>
      <c r="D15" s="3" t="s">
        <v>317</v>
      </c>
      <c r="E15" s="3" t="s">
        <v>318</v>
      </c>
      <c r="F15" s="3" t="s">
        <v>319</v>
      </c>
      <c r="G15" s="3" t="s">
        <v>320</v>
      </c>
      <c r="H15" s="3" t="s">
        <v>236</v>
      </c>
      <c r="I15" s="3" t="s">
        <v>37</v>
      </c>
      <c r="J15" s="3" t="s">
        <v>102</v>
      </c>
      <c r="K15" s="3" t="s">
        <v>237</v>
      </c>
      <c r="L15" s="12"/>
      <c r="M15" s="13"/>
    </row>
    <row r="16" customFormat="false" ht="16.4" hidden="false" customHeight="false" outlineLevel="0" collapsed="false">
      <c r="A16" s="5" t="s">
        <v>321</v>
      </c>
      <c r="B16" s="3" t="s">
        <v>140</v>
      </c>
      <c r="C16" s="3" t="s">
        <v>322</v>
      </c>
      <c r="D16" s="3" t="s">
        <v>323</v>
      </c>
      <c r="E16" s="3" t="s">
        <v>324</v>
      </c>
      <c r="F16" s="3" t="s">
        <v>325</v>
      </c>
      <c r="G16" s="3" t="s">
        <v>326</v>
      </c>
      <c r="H16" s="3" t="s">
        <v>236</v>
      </c>
      <c r="I16" s="3" t="s">
        <v>37</v>
      </c>
      <c r="J16" s="3" t="s">
        <v>102</v>
      </c>
      <c r="K16" s="3" t="s">
        <v>104</v>
      </c>
      <c r="L16" s="12"/>
      <c r="M16" s="13"/>
    </row>
    <row r="17" customFormat="false" ht="16.4" hidden="false" customHeight="false" outlineLevel="0" collapsed="false">
      <c r="A17" s="5" t="s">
        <v>327</v>
      </c>
      <c r="B17" s="3" t="s">
        <v>140</v>
      </c>
      <c r="C17" s="3" t="s">
        <v>328</v>
      </c>
      <c r="D17" s="3" t="s">
        <v>329</v>
      </c>
      <c r="E17" s="3" t="s">
        <v>330</v>
      </c>
      <c r="F17" s="3" t="s">
        <v>331</v>
      </c>
      <c r="G17" s="3" t="s">
        <v>332</v>
      </c>
      <c r="H17" s="3" t="s">
        <v>236</v>
      </c>
      <c r="I17" s="3" t="s">
        <v>37</v>
      </c>
      <c r="J17" s="3" t="s">
        <v>102</v>
      </c>
      <c r="K17" s="3" t="s">
        <v>104</v>
      </c>
      <c r="L17" s="12"/>
      <c r="M17" s="13"/>
    </row>
    <row r="18" customFormat="false" ht="16.4" hidden="false" customHeight="false" outlineLevel="0" collapsed="false">
      <c r="A18" s="5" t="s">
        <v>333</v>
      </c>
      <c r="B18" s="3" t="s">
        <v>334</v>
      </c>
      <c r="C18" s="3" t="s">
        <v>335</v>
      </c>
      <c r="D18" s="3" t="s">
        <v>336</v>
      </c>
      <c r="E18" s="3" t="s">
        <v>337</v>
      </c>
      <c r="F18" s="3" t="s">
        <v>338</v>
      </c>
      <c r="G18" s="3" t="s">
        <v>339</v>
      </c>
      <c r="H18" s="3" t="s">
        <v>236</v>
      </c>
      <c r="I18" s="3" t="s">
        <v>37</v>
      </c>
      <c r="J18" s="3" t="s">
        <v>102</v>
      </c>
      <c r="K18" s="3" t="s">
        <v>104</v>
      </c>
      <c r="L18" s="12"/>
      <c r="M18" s="13"/>
    </row>
    <row r="19" customFormat="false" ht="16.4" hidden="false" customHeight="false" outlineLevel="0" collapsed="false">
      <c r="A19" s="5" t="s">
        <v>340</v>
      </c>
      <c r="B19" s="3" t="s">
        <v>341</v>
      </c>
      <c r="C19" s="3" t="s">
        <v>342</v>
      </c>
      <c r="D19" s="3" t="s">
        <v>343</v>
      </c>
      <c r="E19" s="3" t="s">
        <v>344</v>
      </c>
      <c r="F19" s="3" t="s">
        <v>345</v>
      </c>
      <c r="G19" s="3" t="s">
        <v>346</v>
      </c>
      <c r="H19" s="3" t="s">
        <v>236</v>
      </c>
      <c r="I19" s="3" t="s">
        <v>37</v>
      </c>
      <c r="J19" s="3" t="s">
        <v>102</v>
      </c>
      <c r="K19" s="3" t="s">
        <v>104</v>
      </c>
      <c r="L19" s="12"/>
      <c r="M19" s="13"/>
    </row>
    <row r="20" customFormat="false" ht="16.4" hidden="false" customHeight="false" outlineLevel="0" collapsed="false">
      <c r="A20" s="5" t="s">
        <v>347</v>
      </c>
      <c r="B20" s="3" t="s">
        <v>348</v>
      </c>
      <c r="C20" s="3" t="s">
        <v>349</v>
      </c>
      <c r="D20" s="3" t="s">
        <v>350</v>
      </c>
      <c r="E20" s="3" t="s">
        <v>351</v>
      </c>
      <c r="F20" s="3" t="s">
        <v>352</v>
      </c>
      <c r="G20" s="3" t="s">
        <v>353</v>
      </c>
      <c r="H20" s="3" t="s">
        <v>349</v>
      </c>
      <c r="I20" s="3" t="s">
        <v>37</v>
      </c>
      <c r="J20" s="3" t="s">
        <v>102</v>
      </c>
      <c r="K20" s="3" t="s">
        <v>237</v>
      </c>
      <c r="L20" s="12"/>
      <c r="M20" s="13"/>
    </row>
    <row r="25" customFormat="false" ht="17.7" hidden="false" customHeight="false" outlineLevel="0" collapsed="false">
      <c r="A25" s="5" t="s">
        <v>229</v>
      </c>
    </row>
    <row r="26" customFormat="false" ht="102.6" hidden="false" customHeight="false" outlineLevel="0" collapsed="false">
      <c r="B26" s="14" t="s">
        <v>354</v>
      </c>
    </row>
    <row r="27" customFormat="false" ht="15" hidden="false" customHeight="false" outlineLevel="0" collapsed="false">
      <c r="B27" s="0"/>
    </row>
    <row r="40" customFormat="false" ht="16.4" hidden="false" customHeight="false" outlineLevel="0" collapsed="false">
      <c r="A40" s="5" t="s">
        <v>240</v>
      </c>
    </row>
    <row r="41" customFormat="false" ht="147.35" hidden="false" customHeight="false" outlineLevel="0" collapsed="false">
      <c r="B41" s="14" t="s">
        <v>355</v>
      </c>
    </row>
    <row r="42" customFormat="false" ht="15" hidden="false" customHeight="false" outlineLevel="0" collapsed="false">
      <c r="B42" s="0"/>
    </row>
    <row r="52" customFormat="false" ht="15" hidden="false" customHeight="false" outlineLevel="0" collapsed="false">
      <c r="A52" s="1" t="s">
        <v>246</v>
      </c>
    </row>
    <row r="53" customFormat="false" ht="135.8" hidden="false" customHeight="false" outlineLevel="0" collapsed="false">
      <c r="B53" s="14" t="s">
        <v>356</v>
      </c>
    </row>
    <row r="62" customFormat="false" ht="15" hidden="false" customHeight="false" outlineLevel="0" collapsed="false">
      <c r="A62" s="1" t="s">
        <v>252</v>
      </c>
    </row>
    <row r="63" customFormat="false" ht="124.6" hidden="false" customHeight="false" outlineLevel="0" collapsed="false">
      <c r="B63" s="14" t="s">
        <v>357</v>
      </c>
    </row>
  </sheetData>
  <conditionalFormatting sqref="J2:J21">
    <cfRule type="expression" priority="2" aboveAverage="0" equalAverage="0" bottom="0" percent="0" rank="0" text="" dxfId="0">
      <formula>J2="Completado"</formula>
    </cfRule>
    <cfRule type="expression" priority="3" aboveAverage="0" equalAverage="0" bottom="0" percent="0" rank="0" text="" dxfId="0">
      <formula>J2="En progreso"</formula>
    </cfRule>
    <cfRule type="expression" priority="4" aboveAverage="0" equalAverage="0" bottom="0" percent="0" rank="0" text="" dxfId="1">
      <formula>J2="Bloqueado"</formula>
    </cfRule>
    <cfRule type="expression" priority="5" aboveAverage="0" equalAverage="0" bottom="0" percent="0" rank="0" text="" dxfId="2">
      <formula>J2="No iniciado"</formula>
    </cfRule>
    <cfRule type="expression" priority="6" aboveAverage="0" equalAverage="0" bottom="0" percent="0" rank="0" text="" dxfId="2">
      <formula>J2="N/A"</formula>
    </cfRule>
  </conditionalFormatting>
  <dataValidations count="4">
    <dataValidation allowBlank="false" errorStyle="stop" operator="between" showDropDown="false" showErrorMessage="false" showInputMessage="false" sqref="H2:H20" type="list">
      <formula1>Listas!$C$2:$C$8</formula1>
      <formula2>0</formula2>
    </dataValidation>
    <dataValidation allowBlank="false" errorStyle="stop" operator="between" showDropDown="false" showErrorMessage="false" showInputMessage="false" sqref="I2:I20" type="list">
      <formula1>Listas!$D$2:$D$4</formula1>
      <formula2>0</formula2>
    </dataValidation>
    <dataValidation allowBlank="false" errorStyle="stop" operator="between" showDropDown="false" showErrorMessage="false" showInputMessage="false" sqref="J2:J20" type="list">
      <formula1>Listas!$A$2:$A$6</formula1>
      <formula2>0</formula2>
    </dataValidation>
    <dataValidation allowBlank="false" errorStyle="stop" operator="between" showDropDown="false" showErrorMessage="false" showInputMessage="false" sqref="K2:K20" type="list">
      <formula1>Listas!$B$2:$B$5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35" activeCellId="0" sqref="F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56.13"/>
    <col collapsed="false" customWidth="true" hidden="false" outlineLevel="0" max="4" min="3" style="1" width="22.69"/>
    <col collapsed="false" customWidth="true" hidden="false" outlineLevel="0" max="5" min="5" style="1" width="15.12"/>
    <col collapsed="false" customWidth="true" hidden="false" outlineLevel="0" max="6" min="6" style="1" width="20.17"/>
    <col collapsed="false" customWidth="true" hidden="false" outlineLevel="0" max="7" min="7" style="1" width="17.64"/>
    <col collapsed="false" customWidth="true" hidden="false" outlineLevel="0" max="8" min="8" style="1" width="30.24"/>
    <col collapsed="false" customWidth="true" hidden="false" outlineLevel="0" max="1025" min="9" style="1" width="10.77"/>
  </cols>
  <sheetData>
    <row r="1" customFormat="false" ht="16.4" hidden="false" customHeight="false" outlineLevel="0" collapsed="false">
      <c r="A1" s="4" t="s">
        <v>220</v>
      </c>
      <c r="B1" s="4" t="s">
        <v>358</v>
      </c>
      <c r="C1" s="4" t="s">
        <v>359</v>
      </c>
      <c r="D1" s="4" t="s">
        <v>360</v>
      </c>
      <c r="E1" s="4" t="s">
        <v>361</v>
      </c>
      <c r="F1" s="4" t="s">
        <v>92</v>
      </c>
      <c r="G1" s="4" t="s">
        <v>362</v>
      </c>
      <c r="H1" s="4" t="s">
        <v>33</v>
      </c>
    </row>
    <row r="2" customFormat="false" ht="16.4" hidden="false" customHeight="false" outlineLevel="0" collapsed="false">
      <c r="A2" s="3" t="s">
        <v>230</v>
      </c>
      <c r="B2" s="3" t="s">
        <v>363</v>
      </c>
      <c r="C2" s="3" t="n">
        <v>4</v>
      </c>
      <c r="D2" s="3" t="n">
        <v>0</v>
      </c>
      <c r="E2" s="15" t="n">
        <v>0</v>
      </c>
      <c r="F2" s="3" t="s">
        <v>102</v>
      </c>
      <c r="G2" s="3"/>
      <c r="H2" s="3"/>
    </row>
    <row r="3" customFormat="false" ht="16.4" hidden="false" customHeight="false" outlineLevel="0" collapsed="false">
      <c r="A3" s="3" t="s">
        <v>253</v>
      </c>
      <c r="B3" s="3" t="s">
        <v>364</v>
      </c>
      <c r="C3" s="3" t="n">
        <v>2</v>
      </c>
      <c r="D3" s="3" t="n">
        <v>0</v>
      </c>
      <c r="E3" s="15" t="n">
        <v>0</v>
      </c>
      <c r="F3" s="3" t="s">
        <v>102</v>
      </c>
      <c r="G3" s="3"/>
      <c r="H3" s="3"/>
    </row>
    <row r="4" customFormat="false" ht="16.4" hidden="false" customHeight="false" outlineLevel="0" collapsed="false">
      <c r="A4" s="3" t="s">
        <v>265</v>
      </c>
      <c r="B4" s="3" t="s">
        <v>365</v>
      </c>
      <c r="C4" s="3" t="n">
        <v>2</v>
      </c>
      <c r="D4" s="3" t="n">
        <v>0</v>
      </c>
      <c r="E4" s="15" t="n">
        <v>0</v>
      </c>
      <c r="F4" s="3" t="s">
        <v>102</v>
      </c>
      <c r="G4" s="3"/>
      <c r="H4" s="3"/>
    </row>
    <row r="5" customFormat="false" ht="16.4" hidden="false" customHeight="false" outlineLevel="0" collapsed="false">
      <c r="A5" s="3" t="s">
        <v>272</v>
      </c>
      <c r="B5" s="3" t="s">
        <v>366</v>
      </c>
      <c r="C5" s="3" t="n">
        <v>1</v>
      </c>
      <c r="D5" s="3" t="n">
        <v>0</v>
      </c>
      <c r="E5" s="15" t="n">
        <v>0</v>
      </c>
      <c r="F5" s="3" t="s">
        <v>102</v>
      </c>
      <c r="G5" s="3"/>
      <c r="H5" s="3"/>
    </row>
    <row r="6" customFormat="false" ht="16.4" hidden="false" customHeight="false" outlineLevel="0" collapsed="false">
      <c r="A6" s="3" t="s">
        <v>280</v>
      </c>
      <c r="B6" s="3" t="s">
        <v>367</v>
      </c>
      <c r="C6" s="3" t="n">
        <v>1</v>
      </c>
      <c r="D6" s="3" t="n">
        <v>0</v>
      </c>
      <c r="E6" s="15" t="n">
        <v>0</v>
      </c>
      <c r="F6" s="3" t="s">
        <v>102</v>
      </c>
      <c r="G6" s="3"/>
      <c r="H6" s="3"/>
    </row>
    <row r="7" customFormat="false" ht="16.4" hidden="false" customHeight="false" outlineLevel="0" collapsed="false">
      <c r="A7" s="3" t="s">
        <v>368</v>
      </c>
      <c r="B7" s="3" t="s">
        <v>369</v>
      </c>
      <c r="C7" s="3" t="n">
        <v>1</v>
      </c>
      <c r="D7" s="3" t="n">
        <v>0</v>
      </c>
      <c r="E7" s="15" t="n">
        <v>0</v>
      </c>
      <c r="F7" s="3" t="s">
        <v>102</v>
      </c>
      <c r="G7" s="3"/>
      <c r="H7" s="3"/>
    </row>
    <row r="8" customFormat="false" ht="16.4" hidden="false" customHeight="false" outlineLevel="0" collapsed="false">
      <c r="A8" s="3" t="s">
        <v>370</v>
      </c>
      <c r="B8" s="3" t="s">
        <v>371</v>
      </c>
      <c r="C8" s="3" t="n">
        <v>3</v>
      </c>
      <c r="D8" s="3" t="n">
        <v>0</v>
      </c>
      <c r="E8" s="15" t="n">
        <v>0</v>
      </c>
      <c r="F8" s="3" t="s">
        <v>102</v>
      </c>
      <c r="G8" s="3"/>
      <c r="H8" s="3"/>
    </row>
    <row r="9" customFormat="false" ht="16.4" hidden="false" customHeight="false" outlineLevel="0" collapsed="false">
      <c r="A9" s="3" t="s">
        <v>372</v>
      </c>
      <c r="B9" s="3" t="s">
        <v>373</v>
      </c>
      <c r="C9" s="3" t="n">
        <v>4</v>
      </c>
      <c r="D9" s="3" t="n">
        <v>0</v>
      </c>
      <c r="E9" s="15" t="n">
        <v>0</v>
      </c>
      <c r="F9" s="3" t="s">
        <v>102</v>
      </c>
      <c r="G9" s="3"/>
      <c r="H9" s="3"/>
    </row>
    <row r="10" customFormat="false" ht="16.4" hidden="false" customHeight="false" outlineLevel="0" collapsed="false">
      <c r="A10" s="3" t="s">
        <v>374</v>
      </c>
      <c r="B10" s="3" t="s">
        <v>375</v>
      </c>
      <c r="C10" s="3" t="n">
        <v>4</v>
      </c>
      <c r="D10" s="3" t="n">
        <v>0</v>
      </c>
      <c r="E10" s="15" t="n">
        <v>0</v>
      </c>
      <c r="F10" s="3" t="s">
        <v>102</v>
      </c>
      <c r="G10" s="3"/>
      <c r="H10" s="3"/>
    </row>
    <row r="11" customFormat="false" ht="16.4" hidden="false" customHeight="false" outlineLevel="0" collapsed="false">
      <c r="A11" s="3" t="s">
        <v>376</v>
      </c>
      <c r="B11" s="3" t="s">
        <v>377</v>
      </c>
      <c r="C11" s="3" t="n">
        <v>1</v>
      </c>
      <c r="D11" s="3" t="n">
        <v>0</v>
      </c>
      <c r="E11" s="15" t="n">
        <v>0</v>
      </c>
      <c r="F11" s="3" t="s">
        <v>102</v>
      </c>
      <c r="G11" s="3"/>
      <c r="H11" s="3"/>
    </row>
    <row r="12" customFormat="false" ht="16.4" hidden="false" customHeight="false" outlineLevel="0" collapsed="false">
      <c r="A12" s="3" t="s">
        <v>378</v>
      </c>
      <c r="B12" s="3" t="s">
        <v>379</v>
      </c>
      <c r="C12" s="3" t="n">
        <v>3</v>
      </c>
      <c r="D12" s="3" t="n">
        <v>0</v>
      </c>
      <c r="E12" s="15" t="n">
        <v>0</v>
      </c>
      <c r="F12" s="3" t="s">
        <v>102</v>
      </c>
      <c r="G12" s="3"/>
      <c r="H12" s="3"/>
    </row>
    <row r="13" customFormat="false" ht="16.4" hidden="false" customHeight="false" outlineLevel="0" collapsed="false">
      <c r="A13" s="3" t="s">
        <v>334</v>
      </c>
      <c r="B13" s="3" t="s">
        <v>380</v>
      </c>
      <c r="C13" s="3" t="n">
        <v>2</v>
      </c>
      <c r="D13" s="3" t="n">
        <v>0</v>
      </c>
      <c r="E13" s="15" t="n">
        <v>0</v>
      </c>
      <c r="F13" s="3" t="s">
        <v>102</v>
      </c>
      <c r="G13" s="3"/>
      <c r="H13" s="3"/>
    </row>
    <row r="14" customFormat="false" ht="16.4" hidden="false" customHeight="false" outlineLevel="0" collapsed="false">
      <c r="A14" s="3" t="s">
        <v>381</v>
      </c>
      <c r="B14" s="3" t="s">
        <v>382</v>
      </c>
      <c r="C14" s="3" t="n">
        <v>1</v>
      </c>
      <c r="D14" s="3" t="n">
        <v>0</v>
      </c>
      <c r="E14" s="15" t="n">
        <v>0</v>
      </c>
      <c r="F14" s="3" t="s">
        <v>102</v>
      </c>
      <c r="G14" s="3"/>
      <c r="H14" s="3"/>
    </row>
    <row r="15" customFormat="false" ht="16.4" hidden="false" customHeight="false" outlineLevel="0" collapsed="false">
      <c r="A15" s="3" t="s">
        <v>383</v>
      </c>
      <c r="B15" s="3" t="s">
        <v>384</v>
      </c>
      <c r="C15" s="3" t="n">
        <v>2</v>
      </c>
      <c r="D15" s="3" t="n">
        <v>0</v>
      </c>
      <c r="E15" s="3" t="n">
        <v>0</v>
      </c>
      <c r="F15" s="3" t="s">
        <v>102</v>
      </c>
      <c r="G15" s="3"/>
      <c r="H15" s="3"/>
    </row>
    <row r="16" customFormat="false" ht="16.4" hidden="false" customHeight="false" outlineLevel="0" collapsed="false">
      <c r="A16" s="3" t="s">
        <v>385</v>
      </c>
      <c r="B16" s="3" t="s">
        <v>386</v>
      </c>
      <c r="C16" s="3" t="n">
        <v>0</v>
      </c>
      <c r="D16" s="3" t="n">
        <v>0</v>
      </c>
      <c r="E16" s="3" t="n">
        <v>0</v>
      </c>
      <c r="F16" s="3" t="s">
        <v>387</v>
      </c>
      <c r="G16" s="3"/>
      <c r="H16" s="3"/>
    </row>
    <row r="17" customFormat="false" ht="16.4" hidden="false" customHeight="false" outlineLevel="0" collapsed="false">
      <c r="A17" s="3" t="s">
        <v>388</v>
      </c>
      <c r="B17" s="3" t="s">
        <v>389</v>
      </c>
      <c r="C17" s="3" t="n">
        <v>0</v>
      </c>
      <c r="D17" s="3" t="n">
        <v>0</v>
      </c>
      <c r="E17" s="3" t="n">
        <v>0</v>
      </c>
      <c r="F17" s="3" t="s">
        <v>387</v>
      </c>
      <c r="G17" s="3"/>
      <c r="H17" s="3"/>
    </row>
    <row r="18" customFormat="false" ht="16.4" hidden="false" customHeight="false" outlineLevel="0" collapsed="false">
      <c r="A18" s="3" t="s">
        <v>348</v>
      </c>
      <c r="B18" s="3" t="s">
        <v>390</v>
      </c>
      <c r="C18" s="3" t="n">
        <v>2</v>
      </c>
      <c r="D18" s="3" t="n">
        <v>0</v>
      </c>
      <c r="E18" s="3" t="n">
        <v>0</v>
      </c>
      <c r="F18" s="3" t="s">
        <v>102</v>
      </c>
      <c r="G18" s="3"/>
      <c r="H18" s="3"/>
    </row>
  </sheetData>
  <conditionalFormatting sqref="F2:F14">
    <cfRule type="expression" priority="2" aboveAverage="0" equalAverage="0" bottom="0" percent="0" rank="0" text="" dxfId="0">
      <formula>F2="Completado"</formula>
    </cfRule>
    <cfRule type="expression" priority="3" aboveAverage="0" equalAverage="0" bottom="0" percent="0" rank="0" text="" dxfId="0">
      <formula>F2="En progreso"</formula>
    </cfRule>
    <cfRule type="expression" priority="4" aboveAverage="0" equalAverage="0" bottom="0" percent="0" rank="0" text="" dxfId="1">
      <formula>F2="Bloqueado"</formula>
    </cfRule>
    <cfRule type="expression" priority="5" aboveAverage="0" equalAverage="0" bottom="0" percent="0" rank="0" text="" dxfId="2">
      <formula>F2="No iniciado"</formula>
    </cfRule>
    <cfRule type="expression" priority="6" aboveAverage="0" equalAverage="0" bottom="0" percent="0" rank="0" text="" dxfId="0">
      <formula>F2="N/A"</formula>
    </cfRule>
  </conditionalFormatting>
  <conditionalFormatting sqref="E2:E14">
    <cfRule type="dataBar" priority="7">
      <dataBar showValue="1" minLength="10" maxLength="90">
        <cfvo type="min" val="0"/>
        <cfvo type="max" val="0"/>
        <color rgb="FFA02B93"/>
      </dataBar>
      <extLst>
        <ext xmlns:x14="http://schemas.microsoft.com/office/spreadsheetml/2009/9/main" uri="{B025F937-C7B1-47D3-B67F-A62EFF666E3E}">
          <x14:id>{904C8EBB-B655-4444-83BD-584A58B0C0B5}</x14:id>
        </ext>
      </extLst>
    </cfRule>
  </conditionalFormatting>
  <dataValidations count="1">
    <dataValidation allowBlank="false" errorStyle="stop" operator="between" showDropDown="false" showErrorMessage="false" showInputMessage="false" sqref="F2:F14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4C8EBB-B655-4444-83BD-584A58B0C0B5}">
            <x14:dataBar minLength="10" maxLength="90" axisPosition="none" gradient="true">
              <x14:cfvo type="min"/>
              <x14:cfvo type="max"/>
              <x14:negativeFillColor rgb="FFA02B93"/>
              <x14:axisColor rgb="FF000000"/>
            </x14:dataBar>
          </x14:cfRule>
          <xm:sqref>E2:E14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0" activeCellId="0" sqref="F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9.08"/>
    <col collapsed="false" customWidth="true" hidden="false" outlineLevel="0" max="2" min="2" style="1" width="20.17"/>
    <col collapsed="false" customWidth="true" hidden="false" outlineLevel="0" max="3" min="3" style="1" width="5.04"/>
    <col collapsed="false" customWidth="true" hidden="false" outlineLevel="0" max="4" min="4" style="1" width="22.69"/>
    <col collapsed="false" customWidth="true" hidden="false" outlineLevel="0" max="5" min="5" style="1" width="17.64"/>
    <col collapsed="false" customWidth="true" hidden="false" outlineLevel="0" max="6" min="6" style="1" width="35.43"/>
    <col collapsed="false" customWidth="true" hidden="false" outlineLevel="0" max="8" min="7" style="1" width="5.04"/>
    <col collapsed="false" customWidth="true" hidden="false" outlineLevel="0" max="1025" min="9" style="1" width="10.77"/>
  </cols>
  <sheetData>
    <row r="1" customFormat="false" ht="15" hidden="false" customHeight="true" outlineLevel="0" collapsed="false">
      <c r="A1" s="2" t="s">
        <v>391</v>
      </c>
      <c r="B1" s="2" t="s">
        <v>391</v>
      </c>
      <c r="C1" s="2" t="s">
        <v>391</v>
      </c>
      <c r="D1" s="2" t="s">
        <v>391</v>
      </c>
      <c r="E1" s="2" t="s">
        <v>391</v>
      </c>
      <c r="F1" s="2" t="s">
        <v>391</v>
      </c>
      <c r="G1" s="2" t="s">
        <v>391</v>
      </c>
      <c r="H1" s="2" t="s">
        <v>391</v>
      </c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6.4" hidden="false" customHeight="false" outlineLevel="0" collapsed="false">
      <c r="A3" s="4" t="s">
        <v>392</v>
      </c>
      <c r="B3" s="4" t="s">
        <v>393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6.4" hidden="false" customHeight="false" outlineLevel="0" collapsed="false">
      <c r="A4" s="3" t="s">
        <v>394</v>
      </c>
      <c r="B4" s="3" t="n">
        <f aca="false">COUNTA(Matriz_RV32I!B2:B100)</f>
        <v>40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6.4" hidden="false" customHeight="false" outlineLevel="0" collapsed="false">
      <c r="A5" s="3" t="s">
        <v>395</v>
      </c>
      <c r="B5" s="3" t="n">
        <f aca="false">COUNTIF(Matriz_RV32I!K2:K100,"Completado")</f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6.4" hidden="false" customHeight="false" outlineLevel="0" collapsed="false">
      <c r="A6" s="3" t="s">
        <v>396</v>
      </c>
      <c r="B6" s="15" t="n">
        <f aca="false">IFERROR(B5/B4,0)</f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6.4" hidden="false" customHeight="false" outlineLevel="0" collapsed="false">
      <c r="A7" s="3" t="s">
        <v>397</v>
      </c>
      <c r="B7" s="15" t="n">
        <f aca="false">IFERROR(COUNTIF(Cobertura_Modulos!F2:F100,"Completado")/COUNTIF(Cobertura_Modulos!F2:F100,"&lt;&gt;N/A"),0)</f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6.4" hidden="false" customHeight="false" outlineLevel="0" collapsed="false">
      <c r="A8" s="3" t="s">
        <v>398</v>
      </c>
      <c r="B8" s="3" t="n">
        <f aca="false">COUNTIF(Hazards_Forwarding!L2:L100,"Completado")</f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6.4" hidden="false" customHeight="false" outlineLevel="0" collapsed="false">
      <c r="A9" s="3" t="s">
        <v>399</v>
      </c>
      <c r="B9" s="3" t="n">
        <f aca="false">COUNTIF(Escenarios_Prueba!J2:J106,"Completado")</f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6.4" hidden="false" customHeight="false" outlineLevel="0" collapsed="false">
      <c r="A10" s="4" t="s">
        <v>92</v>
      </c>
      <c r="B10" s="4" t="s">
        <v>400</v>
      </c>
      <c r="C10" s="3"/>
      <c r="D10" s="4" t="s">
        <v>220</v>
      </c>
      <c r="E10" s="4" t="s">
        <v>361</v>
      </c>
      <c r="F10" s="4" t="s">
        <v>401</v>
      </c>
      <c r="G10" s="3"/>
      <c r="H10" s="3"/>
      <c r="I10" s="3"/>
      <c r="J10" s="3"/>
      <c r="K10" s="3"/>
      <c r="L10" s="3"/>
      <c r="M10" s="3"/>
      <c r="N10" s="3"/>
    </row>
    <row r="11" customFormat="false" ht="16.4" hidden="false" customHeight="false" outlineLevel="0" collapsed="false">
      <c r="A11" s="3" t="s">
        <v>102</v>
      </c>
      <c r="B11" s="3" t="n">
        <f aca="false">COUNTIF(Matriz_RV32I!K2:K100,"No iniciado")</f>
        <v>40</v>
      </c>
      <c r="C11" s="3"/>
      <c r="D11" s="3" t="s">
        <v>230</v>
      </c>
      <c r="E11" s="15" t="n">
        <f aca="false">IFERROR(INDEX(Cobertura_Modulos!E:E,MATCH(D11,Cobertura_Modulos!A:A,0)),0)</f>
        <v>0</v>
      </c>
      <c r="F11" s="3" t="str">
        <f aca="false">IFERROR(INDEX(Cobertura_Modulos!D:D,MATCH(D11,Cobertura_Modulos!A:A,0)),0)&amp;"/"&amp;IFERROR(INDEX(Cobertura_Modulos!C:C,MATCH(D11,Cobertura_Modulos!A:A,0)),0)</f>
        <v>0/4</v>
      </c>
      <c r="G11" s="3"/>
      <c r="H11" s="3"/>
      <c r="I11" s="3"/>
      <c r="J11" s="3"/>
      <c r="K11" s="3"/>
      <c r="L11" s="3"/>
      <c r="M11" s="3"/>
      <c r="N11" s="3"/>
    </row>
    <row r="12" customFormat="false" ht="16.4" hidden="false" customHeight="false" outlineLevel="0" collapsed="false">
      <c r="A12" s="3" t="s">
        <v>402</v>
      </c>
      <c r="B12" s="3" t="n">
        <f aca="false">COUNTIF(Matriz_RV32I!K2:K100,"En progreso")</f>
        <v>0</v>
      </c>
      <c r="C12" s="3"/>
      <c r="D12" s="3" t="s">
        <v>253</v>
      </c>
      <c r="E12" s="15" t="n">
        <f aca="false">IFERROR(INDEX(Cobertura_Modulos!E:E,MATCH(D12,Cobertura_Modulos!A:A,0)),0)</f>
        <v>0</v>
      </c>
      <c r="F12" s="3" t="str">
        <f aca="false">IFERROR(INDEX(Cobertura_Modulos!D:D,MATCH(D12,Cobertura_Modulos!A:A,0)),0)&amp;"/"&amp;IFERROR(INDEX(Cobertura_Modulos!C:C,MATCH(D12,Cobertura_Modulos!A:A,0)),0)</f>
        <v>0/2</v>
      </c>
      <c r="G12" s="3"/>
      <c r="H12" s="3"/>
      <c r="I12" s="3"/>
      <c r="J12" s="3"/>
      <c r="K12" s="3"/>
      <c r="L12" s="3"/>
      <c r="M12" s="3"/>
      <c r="N12" s="3"/>
    </row>
    <row r="13" customFormat="false" ht="16.4" hidden="false" customHeight="false" outlineLevel="0" collapsed="false">
      <c r="A13" s="3" t="s">
        <v>403</v>
      </c>
      <c r="B13" s="3" t="n">
        <f aca="false">COUNTIF(Matriz_RV32I!K2:K100,"Bloqueado")</f>
        <v>0</v>
      </c>
      <c r="C13" s="3"/>
      <c r="D13" s="3" t="s">
        <v>265</v>
      </c>
      <c r="E13" s="15" t="n">
        <f aca="false">IFERROR(INDEX(Cobertura_Modulos!E:E,MATCH(D13,Cobertura_Modulos!A:A,0)),0)</f>
        <v>0</v>
      </c>
      <c r="F13" s="3" t="str">
        <f aca="false">IFERROR(INDEX(Cobertura_Modulos!D:D,MATCH(D13,Cobertura_Modulos!A:A,0)),0)&amp;"/"&amp;IFERROR(INDEX(Cobertura_Modulos!C:C,MATCH(D13,Cobertura_Modulos!A:A,0)),0)</f>
        <v>0/2</v>
      </c>
      <c r="G13" s="3"/>
      <c r="H13" s="3"/>
      <c r="I13" s="3"/>
      <c r="J13" s="3"/>
      <c r="K13" s="3"/>
      <c r="L13" s="3"/>
      <c r="M13" s="3"/>
      <c r="N13" s="3"/>
    </row>
    <row r="14" customFormat="false" ht="16.4" hidden="false" customHeight="false" outlineLevel="0" collapsed="false">
      <c r="A14" s="3" t="s">
        <v>404</v>
      </c>
      <c r="B14" s="3" t="n">
        <f aca="false">COUNTIF(Matriz_RV32I!K2:K100,"Completado")</f>
        <v>0</v>
      </c>
      <c r="C14" s="3"/>
      <c r="D14" s="3" t="s">
        <v>272</v>
      </c>
      <c r="E14" s="15" t="n">
        <f aca="false">IFERROR(INDEX(Cobertura_Modulos!E:E,MATCH(D14,Cobertura_Modulos!A:A,0)),0)</f>
        <v>0</v>
      </c>
      <c r="F14" s="3" t="str">
        <f aca="false">IFERROR(INDEX(Cobertura_Modulos!D:D,MATCH(D14,Cobertura_Modulos!A:A,0)),0)&amp;"/"&amp;IFERROR(INDEX(Cobertura_Modulos!C:C,MATCH(D14,Cobertura_Modulos!A:A,0)),0)</f>
        <v>0/1</v>
      </c>
      <c r="G14" s="3"/>
      <c r="H14" s="3"/>
      <c r="I14" s="3"/>
      <c r="J14" s="3"/>
      <c r="K14" s="3"/>
      <c r="L14" s="3"/>
      <c r="M14" s="3"/>
      <c r="N14" s="3"/>
    </row>
    <row r="15" customFormat="false" ht="16.4" hidden="false" customHeight="false" outlineLevel="0" collapsed="false">
      <c r="A15" s="3" t="s">
        <v>387</v>
      </c>
      <c r="B15" s="3" t="n">
        <f aca="false">COUNTIF(Matriz_RV32I!K2:K100,"N/A")</f>
        <v>0</v>
      </c>
      <c r="C15" s="3"/>
      <c r="D15" s="3" t="s">
        <v>280</v>
      </c>
      <c r="E15" s="15" t="n">
        <f aca="false">IFERROR(INDEX(Cobertura_Modulos!E:E,MATCH(D15,Cobertura_Modulos!A:A,0)),0)</f>
        <v>0</v>
      </c>
      <c r="F15" s="3" t="str">
        <f aca="false">IFERROR(INDEX(Cobertura_Modulos!D:D,MATCH(D15,Cobertura_Modulos!A:A,0)),0)&amp;"/"&amp;IFERROR(INDEX(Cobertura_Modulos!C:C,MATCH(D15,Cobertura_Modulos!A:A,0)),0)</f>
        <v>0/1</v>
      </c>
      <c r="G15" s="3"/>
      <c r="H15" s="3"/>
      <c r="I15" s="3"/>
      <c r="J15" s="3"/>
      <c r="K15" s="3"/>
      <c r="L15" s="3"/>
      <c r="M15" s="3"/>
      <c r="N15" s="3"/>
    </row>
    <row r="16" customFormat="false" ht="16.4" hidden="false" customHeight="false" outlineLevel="0" collapsed="false">
      <c r="A16" s="3" t="s">
        <v>405</v>
      </c>
      <c r="B16" s="3" t="s">
        <v>400</v>
      </c>
      <c r="C16" s="3"/>
      <c r="D16" s="3" t="s">
        <v>368</v>
      </c>
      <c r="E16" s="15" t="n">
        <f aca="false">IFERROR(INDEX(Cobertura_Modulos!E:E,MATCH(D16,Cobertura_Modulos!A:A,0)),0)</f>
        <v>0</v>
      </c>
      <c r="F16" s="3" t="str">
        <f aca="false">IFERROR(INDEX(Cobertura_Modulos!D:D,MATCH(D16,Cobertura_Modulos!A:A,0)),0)&amp;"/"&amp;IFERROR(INDEX(Cobertura_Modulos!C:C,MATCH(D16,Cobertura_Modulos!A:A,0)),0)</f>
        <v>0/1</v>
      </c>
      <c r="G16" s="3"/>
      <c r="H16" s="3"/>
      <c r="I16" s="3"/>
      <c r="J16" s="3"/>
      <c r="K16" s="3"/>
      <c r="L16" s="3"/>
      <c r="M16" s="3"/>
      <c r="N16" s="3"/>
    </row>
    <row r="17" customFormat="false" ht="16.4" hidden="false" customHeight="false" outlineLevel="0" collapsed="false">
      <c r="A17" s="3" t="s">
        <v>406</v>
      </c>
      <c r="B17" s="3" t="n">
        <f aca="false">COUNTIF(Documentos_Entradas!D2:D100,"Sí")</f>
        <v>10</v>
      </c>
      <c r="C17" s="3"/>
      <c r="D17" s="3" t="s">
        <v>370</v>
      </c>
      <c r="E17" s="15" t="n">
        <f aca="false">IFERROR(INDEX(Cobertura_Modulos!E:E,MATCH(D17,Cobertura_Modulos!A:A,0)),0)</f>
        <v>0</v>
      </c>
      <c r="F17" s="3" t="str">
        <f aca="false">IFERROR(INDEX(Cobertura_Modulos!D:D,MATCH(D17,Cobertura_Modulos!A:A,0)),0)&amp;"/"&amp;IFERROR(INDEX(Cobertura_Modulos!C:C,MATCH(D17,Cobertura_Modulos!A:A,0)),0)</f>
        <v>0/3</v>
      </c>
      <c r="G17" s="3"/>
      <c r="H17" s="3"/>
      <c r="I17" s="3"/>
      <c r="J17" s="3"/>
      <c r="K17" s="3"/>
      <c r="L17" s="3"/>
      <c r="M17" s="3"/>
      <c r="N17" s="3"/>
    </row>
    <row r="18" customFormat="false" ht="16.4" hidden="false" customHeight="false" outlineLevel="0" collapsed="false">
      <c r="A18" s="4" t="s">
        <v>407</v>
      </c>
      <c r="B18" s="4" t="n">
        <f aca="false">COUNTIFS(Documentos_Entradas!D2:D100,"Sí",Documentos_Entradas!I2:I100,"Completo")</f>
        <v>0</v>
      </c>
      <c r="C18" s="3"/>
      <c r="D18" s="3" t="s">
        <v>372</v>
      </c>
      <c r="E18" s="15" t="n">
        <f aca="false">IFERROR(INDEX(Cobertura_Modulos!E:E,MATCH(D18,Cobertura_Modulos!A:A,0)),0)</f>
        <v>0</v>
      </c>
      <c r="F18" s="3" t="str">
        <f aca="false">IFERROR(INDEX(Cobertura_Modulos!D:D,MATCH(D18,Cobertura_Modulos!A:A,0)),0)&amp;"/"&amp;IFERROR(INDEX(Cobertura_Modulos!C:C,MATCH(D18,Cobertura_Modulos!A:A,0)),0)</f>
        <v>0/4</v>
      </c>
      <c r="G18" s="3"/>
      <c r="H18" s="3"/>
      <c r="I18" s="3"/>
      <c r="J18" s="3"/>
      <c r="K18" s="3"/>
      <c r="L18" s="3"/>
      <c r="M18" s="3"/>
      <c r="N18" s="3"/>
    </row>
    <row r="19" customFormat="false" ht="16.4" hidden="false" customHeight="false" outlineLevel="0" collapsed="false">
      <c r="A19" s="3" t="s">
        <v>408</v>
      </c>
      <c r="B19" s="3" t="n">
        <f aca="false">COUNTA(MMIO_Interrupts_Traps!A2:A100)</f>
        <v>10</v>
      </c>
      <c r="C19" s="3"/>
      <c r="D19" s="3" t="s">
        <v>374</v>
      </c>
      <c r="E19" s="15" t="n">
        <f aca="false">IFERROR(INDEX(Cobertura_Modulos!E:E,MATCH(D19,Cobertura_Modulos!A:A,0)),0)</f>
        <v>0</v>
      </c>
      <c r="F19" s="3" t="str">
        <f aca="false">IFERROR(INDEX(Cobertura_Modulos!D:D,MATCH(D19,Cobertura_Modulos!A:A,0)),0)&amp;"/"&amp;IFERROR(INDEX(Cobertura_Modulos!C:C,MATCH(D19,Cobertura_Modulos!A:A,0)),0)</f>
        <v>0/4</v>
      </c>
      <c r="G19" s="3"/>
      <c r="H19" s="3"/>
      <c r="I19" s="3"/>
      <c r="J19" s="3"/>
      <c r="K19" s="3"/>
      <c r="L19" s="3"/>
      <c r="M19" s="3"/>
      <c r="N19" s="3"/>
    </row>
    <row r="20" customFormat="false" ht="16.4" hidden="false" customHeight="false" outlineLevel="0" collapsed="false">
      <c r="A20" s="3" t="s">
        <v>409</v>
      </c>
      <c r="B20" s="3" t="n">
        <f aca="false">COUNTIF(MMIO_Interrupts_Traps!J2:J100,"Completado")</f>
        <v>0</v>
      </c>
      <c r="C20" s="3"/>
      <c r="D20" s="3" t="s">
        <v>378</v>
      </c>
      <c r="E20" s="15" t="n">
        <f aca="false">IFERROR(INDEX(Cobertura_Modulos!E:E,MATCH(D20,Cobertura_Modulos!A:A,0)),0)</f>
        <v>0</v>
      </c>
      <c r="F20" s="3" t="str">
        <f aca="false">IFERROR(INDEX(Cobertura_Modulos!D:D,MATCH(D20,Cobertura_Modulos!A:A,0)),0)&amp;"/"&amp;IFERROR(INDEX(Cobertura_Modulos!C:C,MATCH(D20,Cobertura_Modulos!A:A,0)),0)</f>
        <v>0/3</v>
      </c>
      <c r="G20" s="3"/>
      <c r="H20" s="3"/>
      <c r="I20" s="3"/>
      <c r="J20" s="3"/>
      <c r="K20" s="3"/>
      <c r="L20" s="3"/>
      <c r="M20" s="3"/>
      <c r="N20" s="3"/>
    </row>
    <row r="21" customFormat="false" ht="16.4" hidden="false" customHeight="false" outlineLevel="0" collapsed="false">
      <c r="A21" s="3" t="s">
        <v>410</v>
      </c>
      <c r="B21" s="15" t="n">
        <f aca="false">IFERROR(B20/B19,0)</f>
        <v>0</v>
      </c>
      <c r="C21" s="3"/>
      <c r="D21" s="3" t="s">
        <v>334</v>
      </c>
      <c r="E21" s="15" t="n">
        <f aca="false">IFERROR(INDEX(Cobertura_Modulos!E:E,MATCH(D21,Cobertura_Modulos!A:A,0)),0)</f>
        <v>0</v>
      </c>
      <c r="F21" s="3" t="str">
        <f aca="false">IFERROR(INDEX(Cobertura_Modulos!D:D,MATCH(D21,Cobertura_Modulos!A:A,0)),0)&amp;"/"&amp;IFERROR(INDEX(Cobertura_Modulos!C:C,MATCH(D21,Cobertura_Modulos!A:A,0)),0)</f>
        <v>0/2</v>
      </c>
      <c r="G21" s="3"/>
      <c r="H21" s="3"/>
      <c r="I21" s="3"/>
      <c r="J21" s="3"/>
      <c r="K21" s="3"/>
      <c r="L21" s="3"/>
      <c r="M21" s="3"/>
      <c r="N21" s="3"/>
    </row>
    <row r="22" customFormat="false" ht="16.4" hidden="false" customHeight="false" outlineLevel="0" collapsed="false">
      <c r="A22" s="3"/>
      <c r="B22" s="3"/>
      <c r="C22" s="3"/>
      <c r="D22" s="3" t="s">
        <v>383</v>
      </c>
      <c r="E22" s="15" t="n">
        <f aca="false">IFERROR(INDEX(Cobertura_Modulos!E:E,MATCH(D22,Cobertura_Modulos!A:A,0)),0)</f>
        <v>0</v>
      </c>
      <c r="F22" s="3" t="str">
        <f aca="false">IFERROR(INDEX(Cobertura_Modulos!D:D,MATCH(D22,Cobertura_Modulos!A:A,0)),0)&amp;"/"&amp;IFERROR(INDEX(Cobertura_Modulos!C:C,MATCH(D22,Cobertura_Modulos!A:A,0)),0)</f>
        <v>0/2</v>
      </c>
      <c r="G22" s="3"/>
      <c r="H22" s="3"/>
      <c r="I22" s="3"/>
      <c r="J22" s="3"/>
      <c r="K22" s="3"/>
      <c r="L22" s="3"/>
      <c r="M22" s="3"/>
      <c r="N22" s="3"/>
    </row>
    <row r="23" customFormat="false" ht="16.4" hidden="false" customHeight="false" outlineLevel="0" collapsed="false">
      <c r="A23" s="3"/>
      <c r="B23" s="15"/>
      <c r="C23" s="3"/>
      <c r="D23" s="3" t="s">
        <v>348</v>
      </c>
      <c r="E23" s="15" t="n">
        <f aca="false">IFERROR(INDEX(Cobertura_Modulos!E:E,MATCH(D23,Cobertura_Modulos!A:A,0)),0)</f>
        <v>0</v>
      </c>
      <c r="F23" s="3" t="str">
        <f aca="false">IFERROR(INDEX(Cobertura_Modulos!D:D,MATCH(D23,Cobertura_Modulos!A:A,0)),0)&amp;"/"&amp;IFERROR(INDEX(Cobertura_Modulos!C:C,MATCH(D23,Cobertura_Modulos!A:A,0)),0)</f>
        <v>0/2</v>
      </c>
      <c r="G23" s="3"/>
      <c r="H23" s="3"/>
      <c r="I23" s="3"/>
      <c r="J23" s="3"/>
      <c r="K23" s="3"/>
      <c r="L23" s="3"/>
      <c r="M23" s="3"/>
      <c r="N23" s="3"/>
    </row>
  </sheetData>
  <mergeCells count="1">
    <mergeCell ref="A1:H1"/>
  </mergeCells>
  <conditionalFormatting sqref="E11:E23">
    <cfRule type="dataBar" priority="2">
      <dataBar showValue="1" minLength="10" maxLength="90">
        <cfvo type="min" val="0"/>
        <cfvo type="max" val="0"/>
        <color rgb="FFE97132"/>
      </dataBar>
      <extLst>
        <ext xmlns:x14="http://schemas.microsoft.com/office/spreadsheetml/2009/9/main" uri="{B025F937-C7B1-47D3-B67F-A62EFF666E3E}">
          <x14:id>{6DC2ACFC-46D7-4A79-8892-582C30E3B6B1}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C2ACFC-46D7-4A79-8892-582C30E3B6B1}">
            <x14:dataBar minLength="10" maxLength="90" axisPosition="none" gradient="true">
              <x14:cfvo type="min"/>
              <x14:cfvo type="max"/>
              <x14:negativeFillColor rgb="FFE97132"/>
              <x14:axisColor rgb="FF000000"/>
            </x14:dataBar>
          </x14:cfRule>
          <xm:sqref>E11:E23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.61"/>
    <col collapsed="false" customWidth="true" hidden="false" outlineLevel="0" max="2" min="2" style="1" width="15.12"/>
    <col collapsed="false" customWidth="true" hidden="false" outlineLevel="0" max="3" min="3" style="1" width="22.69"/>
    <col collapsed="false" customWidth="true" hidden="false" outlineLevel="0" max="4" min="4" style="1" width="55.2"/>
    <col collapsed="false" customWidth="true" hidden="false" outlineLevel="0" max="5" min="5" style="1" width="20.17"/>
    <col collapsed="false" customWidth="true" hidden="false" outlineLevel="0" max="6" min="6" style="1" width="17.64"/>
    <col collapsed="false" customWidth="true" hidden="false" outlineLevel="0" max="8" min="7" style="1" width="22.69"/>
    <col collapsed="false" customWidth="true" hidden="false" outlineLevel="0" max="9" min="9" style="1" width="15.12"/>
    <col collapsed="false" customWidth="true" hidden="false" outlineLevel="0" max="10" min="10" style="1" width="20.17"/>
    <col collapsed="false" customWidth="true" hidden="false" outlineLevel="0" max="11" min="11" style="1" width="30.24"/>
    <col collapsed="false" customWidth="true" hidden="false" outlineLevel="0" max="1025" min="12" style="1" width="10.77"/>
  </cols>
  <sheetData>
    <row r="1" customFormat="false" ht="16.4" hidden="false" customHeight="false" outlineLevel="0" collapsed="false">
      <c r="A1" s="4" t="s">
        <v>411</v>
      </c>
      <c r="B1" s="4" t="s">
        <v>412</v>
      </c>
      <c r="C1" s="4" t="s">
        <v>413</v>
      </c>
      <c r="D1" s="4" t="s">
        <v>358</v>
      </c>
      <c r="E1" s="4" t="s">
        <v>414</v>
      </c>
      <c r="F1" s="4" t="s">
        <v>220</v>
      </c>
      <c r="G1" s="4" t="s">
        <v>359</v>
      </c>
      <c r="H1" s="4" t="s">
        <v>360</v>
      </c>
      <c r="I1" s="4" t="s">
        <v>361</v>
      </c>
      <c r="J1" s="4" t="s">
        <v>92</v>
      </c>
      <c r="K1" s="4" t="s">
        <v>33</v>
      </c>
    </row>
    <row r="2" customFormat="false" ht="16.4" hidden="false" customHeight="false" outlineLevel="0" collapsed="false">
      <c r="A2" s="5" t="s">
        <v>415</v>
      </c>
      <c r="B2" s="3" t="s">
        <v>385</v>
      </c>
      <c r="C2" s="3" t="s">
        <v>416</v>
      </c>
      <c r="D2" s="3" t="s">
        <v>417</v>
      </c>
      <c r="E2" s="3" t="s">
        <v>60</v>
      </c>
      <c r="F2" s="3" t="s">
        <v>385</v>
      </c>
      <c r="G2" s="3" t="n">
        <v>4</v>
      </c>
      <c r="H2" s="3" t="n">
        <v>0</v>
      </c>
      <c r="I2" s="15" t="n">
        <f aca="false">IF(G2=0,0,H2/G2)</f>
        <v>0</v>
      </c>
      <c r="J2" s="3" t="s">
        <v>102</v>
      </c>
      <c r="K2" s="3"/>
    </row>
    <row r="3" customFormat="false" ht="16.4" hidden="false" customHeight="false" outlineLevel="0" collapsed="false">
      <c r="A3" s="5" t="s">
        <v>418</v>
      </c>
      <c r="B3" s="3" t="s">
        <v>385</v>
      </c>
      <c r="C3" s="3" t="s">
        <v>419</v>
      </c>
      <c r="D3" s="3" t="s">
        <v>420</v>
      </c>
      <c r="E3" s="3" t="s">
        <v>60</v>
      </c>
      <c r="F3" s="3" t="s">
        <v>385</v>
      </c>
      <c r="G3" s="3" t="n">
        <v>8</v>
      </c>
      <c r="H3" s="3" t="n">
        <v>0</v>
      </c>
      <c r="I3" s="15" t="n">
        <f aca="false">IF(G3=0,0,H3/G3)</f>
        <v>0</v>
      </c>
      <c r="J3" s="3" t="s">
        <v>102</v>
      </c>
      <c r="K3" s="3"/>
    </row>
    <row r="4" customFormat="false" ht="16.4" hidden="false" customHeight="false" outlineLevel="0" collapsed="false">
      <c r="A4" s="5" t="s">
        <v>421</v>
      </c>
      <c r="B4" s="3" t="s">
        <v>385</v>
      </c>
      <c r="C4" s="3" t="s">
        <v>422</v>
      </c>
      <c r="D4" s="3" t="s">
        <v>423</v>
      </c>
      <c r="E4" s="3" t="s">
        <v>60</v>
      </c>
      <c r="F4" s="3" t="s">
        <v>385</v>
      </c>
      <c r="G4" s="3" t="n">
        <v>4</v>
      </c>
      <c r="H4" s="3" t="n">
        <v>0</v>
      </c>
      <c r="I4" s="15" t="n">
        <f aca="false">IF(G4=0,0,H4/G4)</f>
        <v>0</v>
      </c>
      <c r="J4" s="3" t="s">
        <v>102</v>
      </c>
      <c r="K4" s="3"/>
    </row>
    <row r="5" customFormat="false" ht="16.4" hidden="false" customHeight="false" outlineLevel="0" collapsed="false">
      <c r="A5" s="5" t="s">
        <v>424</v>
      </c>
      <c r="B5" s="3" t="s">
        <v>388</v>
      </c>
      <c r="C5" s="3" t="s">
        <v>425</v>
      </c>
      <c r="D5" s="3" t="s">
        <v>426</v>
      </c>
      <c r="E5" s="3" t="s">
        <v>63</v>
      </c>
      <c r="F5" s="3" t="s">
        <v>388</v>
      </c>
      <c r="G5" s="3" t="n">
        <v>8</v>
      </c>
      <c r="H5" s="3" t="n">
        <v>0</v>
      </c>
      <c r="I5" s="15" t="n">
        <f aca="false">IF(G5=0,0,H5/G5)</f>
        <v>0</v>
      </c>
      <c r="J5" s="3" t="s">
        <v>102</v>
      </c>
      <c r="K5" s="3"/>
    </row>
    <row r="6" customFormat="false" ht="16.4" hidden="false" customHeight="false" outlineLevel="0" collapsed="false">
      <c r="A6" s="5" t="s">
        <v>427</v>
      </c>
      <c r="B6" s="3" t="s">
        <v>388</v>
      </c>
      <c r="C6" s="3" t="s">
        <v>428</v>
      </c>
      <c r="D6" s="3" t="s">
        <v>429</v>
      </c>
      <c r="E6" s="3" t="s">
        <v>63</v>
      </c>
      <c r="F6" s="3" t="s">
        <v>388</v>
      </c>
      <c r="G6" s="3" t="n">
        <v>6</v>
      </c>
      <c r="H6" s="3" t="n">
        <v>0</v>
      </c>
      <c r="I6" s="15" t="n">
        <f aca="false">IF(G6=0,0,H6/G6)</f>
        <v>0</v>
      </c>
      <c r="J6" s="3" t="s">
        <v>102</v>
      </c>
      <c r="K6" s="3"/>
    </row>
    <row r="7" customFormat="false" ht="16.4" hidden="false" customHeight="false" outlineLevel="0" collapsed="false">
      <c r="A7" s="5" t="s">
        <v>430</v>
      </c>
      <c r="B7" s="3" t="s">
        <v>388</v>
      </c>
      <c r="C7" s="3" t="s">
        <v>431</v>
      </c>
      <c r="D7" s="3" t="s">
        <v>432</v>
      </c>
      <c r="E7" s="3" t="s">
        <v>63</v>
      </c>
      <c r="F7" s="3" t="s">
        <v>388</v>
      </c>
      <c r="G7" s="3" t="n">
        <v>4</v>
      </c>
      <c r="H7" s="3" t="n">
        <v>0</v>
      </c>
      <c r="I7" s="15" t="n">
        <f aca="false">IF(G7=0,0,H7/G7)</f>
        <v>0</v>
      </c>
      <c r="J7" s="3" t="s">
        <v>102</v>
      </c>
      <c r="K7" s="3"/>
    </row>
    <row r="8" customFormat="false" ht="16.4" hidden="false" customHeight="false" outlineLevel="0" collapsed="false">
      <c r="A8" s="5" t="s">
        <v>433</v>
      </c>
      <c r="B8" s="3" t="s">
        <v>216</v>
      </c>
      <c r="C8" s="3" t="s">
        <v>434</v>
      </c>
      <c r="D8" s="3" t="s">
        <v>435</v>
      </c>
      <c r="E8" s="3" t="s">
        <v>67</v>
      </c>
      <c r="F8" s="3" t="s">
        <v>216</v>
      </c>
      <c r="G8" s="3" t="n">
        <v>4</v>
      </c>
      <c r="H8" s="3" t="n">
        <v>0</v>
      </c>
      <c r="I8" s="15" t="n">
        <f aca="false">IF(G8=0,0,H8/G8)</f>
        <v>0</v>
      </c>
      <c r="J8" s="3" t="s">
        <v>102</v>
      </c>
      <c r="K8" s="3"/>
    </row>
    <row r="9" customFormat="false" ht="16.4" hidden="false" customHeight="false" outlineLevel="0" collapsed="false">
      <c r="A9" s="5" t="s">
        <v>436</v>
      </c>
      <c r="B9" s="3" t="s">
        <v>216</v>
      </c>
      <c r="C9" s="3" t="s">
        <v>437</v>
      </c>
      <c r="D9" s="3" t="s">
        <v>438</v>
      </c>
      <c r="E9" s="3" t="s">
        <v>67</v>
      </c>
      <c r="F9" s="3" t="s">
        <v>216</v>
      </c>
      <c r="G9" s="3" t="n">
        <v>6</v>
      </c>
      <c r="H9" s="3" t="n">
        <v>0</v>
      </c>
      <c r="I9" s="15" t="n">
        <f aca="false">IF(G9=0,0,H9/G9)</f>
        <v>0</v>
      </c>
      <c r="J9" s="3" t="s">
        <v>102</v>
      </c>
      <c r="K9" s="3"/>
    </row>
    <row r="10" customFormat="false" ht="16.4" hidden="false" customHeight="false" outlineLevel="0" collapsed="false">
      <c r="A10" s="5" t="s">
        <v>439</v>
      </c>
      <c r="B10" s="3" t="s">
        <v>216</v>
      </c>
      <c r="C10" s="3" t="s">
        <v>440</v>
      </c>
      <c r="D10" s="3" t="s">
        <v>441</v>
      </c>
      <c r="E10" s="3" t="s">
        <v>67</v>
      </c>
      <c r="F10" s="3" t="s">
        <v>216</v>
      </c>
      <c r="G10" s="3" t="n">
        <v>6</v>
      </c>
      <c r="H10" s="3" t="n">
        <v>0</v>
      </c>
      <c r="I10" s="15" t="n">
        <f aca="false">IF(G10=0,0,H10/G10)</f>
        <v>0</v>
      </c>
      <c r="J10" s="3" t="s">
        <v>102</v>
      </c>
      <c r="K10" s="3"/>
    </row>
    <row r="11" customFormat="false" ht="16.4" hidden="false" customHeight="false" outlineLevel="0" collapsed="false">
      <c r="A11" s="5" t="s">
        <v>442</v>
      </c>
      <c r="B11" s="3" t="s">
        <v>216</v>
      </c>
      <c r="C11" s="3" t="s">
        <v>443</v>
      </c>
      <c r="D11" s="3" t="s">
        <v>444</v>
      </c>
      <c r="E11" s="3" t="s">
        <v>67</v>
      </c>
      <c r="F11" s="3" t="s">
        <v>216</v>
      </c>
      <c r="G11" s="3" t="n">
        <v>4</v>
      </c>
      <c r="H11" s="3" t="n">
        <v>0</v>
      </c>
      <c r="I11" s="15" t="n">
        <f aca="false">IF(G11=0,0,H11/G11)</f>
        <v>0</v>
      </c>
      <c r="J11" s="3" t="s">
        <v>102</v>
      </c>
      <c r="K11" s="3"/>
    </row>
  </sheetData>
  <conditionalFormatting sqref="J2:J11">
    <cfRule type="expression" priority="2" aboveAverage="0" equalAverage="0" bottom="0" percent="0" rank="0" text="" dxfId="0">
      <formula>J2="Completado"</formula>
    </cfRule>
    <cfRule type="expression" priority="3" aboveAverage="0" equalAverage="0" bottom="0" percent="0" rank="0" text="" dxfId="0">
      <formula>J2="En progreso"</formula>
    </cfRule>
    <cfRule type="expression" priority="4" aboveAverage="0" equalAverage="0" bottom="0" percent="0" rank="0" text="" dxfId="0">
      <formula>J2="Bloqueado"</formula>
    </cfRule>
    <cfRule type="expression" priority="5" aboveAverage="0" equalAverage="0" bottom="0" percent="0" rank="0" text="" dxfId="0">
      <formula>J2="No iniciado"</formula>
    </cfRule>
    <cfRule type="expression" priority="6" aboveAverage="0" equalAverage="0" bottom="0" percent="0" rank="0" text="" dxfId="0">
      <formula>J2="N/A"</formula>
    </cfRule>
  </conditionalFormatting>
  <conditionalFormatting sqref="I2:I11">
    <cfRule type="dataBar" priority="7">
      <dataBar showValue="1" minLength="10" maxLength="90">
        <cfvo type="min" val="0"/>
        <cfvo type="max" val="0"/>
        <color rgb="FF196B24"/>
      </dataBar>
      <extLst>
        <ext xmlns:x14="http://schemas.microsoft.com/office/spreadsheetml/2009/9/main" uri="{B025F937-C7B1-47D3-B67F-A62EFF666E3E}">
          <x14:id>{BDFDABC0-B840-44F9-8AED-17A2D0AAC8E3}</x14:id>
        </ext>
      </extLst>
    </cfRule>
  </conditionalFormatting>
  <dataValidations count="1">
    <dataValidation allowBlank="false" errorStyle="stop" operator="between" showDropDown="false" showErrorMessage="false" showInputMessage="false" sqref="J2:J11" type="list">
      <formula1>Listas!$A$2:$A$6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FDABC0-B840-44F9-8AED-17A2D0AAC8E3}">
            <x14:dataBar minLength="10" maxLength="90" axisPosition="none" gradient="true">
              <x14:cfvo type="min"/>
              <x14:cfvo type="max"/>
              <x14:negativeFillColor rgb="FF196B24"/>
              <x14:axisColor rgb="FF000000"/>
            </x14:dataBar>
          </x14:cfRule>
          <xm:sqref>I2:I11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2.69"/>
    <col collapsed="false" customWidth="true" hidden="false" outlineLevel="0" max="1025" min="5" style="1" width="10.77"/>
  </cols>
  <sheetData>
    <row r="1" customFormat="false" ht="16.4" hidden="false" customHeight="false" outlineLevel="0" collapsed="false">
      <c r="A1" s="4" t="s">
        <v>92</v>
      </c>
      <c r="B1" s="4" t="s">
        <v>94</v>
      </c>
      <c r="C1" s="4" t="s">
        <v>445</v>
      </c>
      <c r="D1" s="4" t="s">
        <v>446</v>
      </c>
    </row>
    <row r="2" customFormat="false" ht="16.4" hidden="false" customHeight="false" outlineLevel="0" collapsed="false">
      <c r="A2" s="3" t="s">
        <v>102</v>
      </c>
      <c r="B2" s="3" t="s">
        <v>104</v>
      </c>
      <c r="C2" s="3" t="s">
        <v>236</v>
      </c>
      <c r="D2" s="3" t="s">
        <v>37</v>
      </c>
    </row>
    <row r="3" customFormat="false" ht="16.4" hidden="false" customHeight="false" outlineLevel="0" collapsed="false">
      <c r="A3" s="3" t="s">
        <v>402</v>
      </c>
      <c r="B3" s="3" t="s">
        <v>166</v>
      </c>
      <c r="C3" s="3" t="s">
        <v>447</v>
      </c>
      <c r="D3" s="3" t="s">
        <v>38</v>
      </c>
    </row>
    <row r="4" customFormat="false" ht="16.4" hidden="false" customHeight="false" outlineLevel="0" collapsed="false">
      <c r="A4" s="3" t="s">
        <v>403</v>
      </c>
      <c r="B4" s="3" t="s">
        <v>212</v>
      </c>
      <c r="C4" s="3" t="s">
        <v>349</v>
      </c>
      <c r="D4" s="3" t="s">
        <v>448</v>
      </c>
    </row>
    <row r="5" customFormat="false" ht="16.4" hidden="false" customHeight="false" outlineLevel="0" collapsed="false">
      <c r="A5" s="3" t="s">
        <v>404</v>
      </c>
      <c r="B5" s="3" t="s">
        <v>237</v>
      </c>
      <c r="C5" s="3" t="s">
        <v>348</v>
      </c>
      <c r="D5" s="3"/>
    </row>
    <row r="6" customFormat="false" ht="16.4" hidden="false" customHeight="false" outlineLevel="0" collapsed="false">
      <c r="A6" s="3" t="s">
        <v>387</v>
      </c>
      <c r="B6" s="3"/>
      <c r="C6" s="3" t="s">
        <v>278</v>
      </c>
      <c r="D6" s="3"/>
    </row>
    <row r="7" customFormat="false" ht="16.4" hidden="false" customHeight="false" outlineLevel="0" collapsed="false">
      <c r="A7" s="3"/>
      <c r="B7" s="3"/>
      <c r="C7" s="3" t="s">
        <v>449</v>
      </c>
      <c r="D7" s="3"/>
    </row>
    <row r="8" customFormat="false" ht="16.4" hidden="false" customHeight="false" outlineLevel="0" collapsed="false">
      <c r="A8" s="3"/>
      <c r="B8" s="3"/>
      <c r="C8" s="3" t="s">
        <v>210</v>
      </c>
      <c r="D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66"/>
    <col collapsed="false" customWidth="true" hidden="false" outlineLevel="0" max="2" min="2" style="1" width="42.86"/>
    <col collapsed="false" customWidth="true" hidden="false" outlineLevel="0" max="3" min="3" style="1" width="77.25"/>
    <col collapsed="false" customWidth="true" hidden="false" outlineLevel="0" max="4" min="4" style="1" width="42.86"/>
    <col collapsed="false" customWidth="true" hidden="false" outlineLevel="0" max="5" min="5" style="1" width="108.74"/>
    <col collapsed="false" customWidth="true" hidden="false" outlineLevel="0" max="6" min="6" style="1" width="62.24"/>
    <col collapsed="false" customWidth="true" hidden="false" outlineLevel="0" max="7" min="7" style="1" width="110.41"/>
    <col collapsed="false" customWidth="true" hidden="false" outlineLevel="0" max="8" min="8" style="1" width="43.53"/>
    <col collapsed="false" customWidth="true" hidden="false" outlineLevel="0" max="9" min="9" style="1" width="15.3"/>
    <col collapsed="false" customWidth="true" hidden="false" outlineLevel="0" max="10" min="10" style="1" width="9.19"/>
    <col collapsed="false" customWidth="true" hidden="false" outlineLevel="0" max="11" min="11" style="1" width="69.84"/>
    <col collapsed="false" customWidth="true" hidden="false" outlineLevel="0" max="12" min="12" style="1" width="30.38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3" t="s">
        <v>450</v>
      </c>
      <c r="B1" s="3" t="s">
        <v>451</v>
      </c>
      <c r="C1" s="3" t="s">
        <v>452</v>
      </c>
      <c r="D1" s="3" t="s">
        <v>453</v>
      </c>
      <c r="E1" s="3" t="s">
        <v>454</v>
      </c>
      <c r="F1" s="3" t="s">
        <v>455</v>
      </c>
      <c r="G1" s="3" t="s">
        <v>456</v>
      </c>
      <c r="H1" s="3" t="s">
        <v>348</v>
      </c>
      <c r="I1" s="3" t="s">
        <v>92</v>
      </c>
      <c r="J1" s="3" t="s">
        <v>362</v>
      </c>
      <c r="K1" s="3" t="s">
        <v>33</v>
      </c>
      <c r="L1" s="3"/>
    </row>
    <row r="2" customFormat="false" ht="31.3" hidden="false" customHeight="false" outlineLevel="0" collapsed="false">
      <c r="A2" s="3" t="s">
        <v>457</v>
      </c>
      <c r="B2" s="3" t="s">
        <v>458</v>
      </c>
      <c r="C2" s="3" t="s">
        <v>459</v>
      </c>
      <c r="D2" s="3" t="s">
        <v>460</v>
      </c>
      <c r="E2" s="3" t="s">
        <v>461</v>
      </c>
      <c r="F2" s="3" t="s">
        <v>462</v>
      </c>
      <c r="G2" s="3" t="s">
        <v>463</v>
      </c>
      <c r="H2" s="3" t="s">
        <v>464</v>
      </c>
      <c r="I2" s="3" t="s">
        <v>102</v>
      </c>
      <c r="J2" s="3"/>
      <c r="K2" s="3" t="s">
        <v>465</v>
      </c>
      <c r="L2" s="3"/>
    </row>
    <row r="3" customFormat="false" ht="16.4" hidden="false" customHeight="false" outlineLevel="0" collapsed="false">
      <c r="A3" s="3" t="s">
        <v>466</v>
      </c>
      <c r="B3" s="3" t="s">
        <v>467</v>
      </c>
      <c r="C3" s="3" t="s">
        <v>468</v>
      </c>
      <c r="D3" s="3" t="s">
        <v>469</v>
      </c>
      <c r="E3" s="3" t="s">
        <v>470</v>
      </c>
      <c r="F3" s="3" t="s">
        <v>471</v>
      </c>
      <c r="G3" s="3" t="s">
        <v>472</v>
      </c>
      <c r="H3" s="3" t="s">
        <v>473</v>
      </c>
      <c r="I3" s="3" t="s">
        <v>102</v>
      </c>
      <c r="J3" s="3"/>
      <c r="K3" s="3"/>
      <c r="L3" s="3"/>
    </row>
    <row r="4" customFormat="false" ht="31.3" hidden="false" customHeight="false" outlineLevel="0" collapsed="false">
      <c r="A4" s="3" t="s">
        <v>474</v>
      </c>
      <c r="B4" s="3" t="s">
        <v>475</v>
      </c>
      <c r="C4" s="3" t="s">
        <v>476</v>
      </c>
      <c r="D4" s="3" t="s">
        <v>477</v>
      </c>
      <c r="E4" s="3" t="s">
        <v>478</v>
      </c>
      <c r="F4" s="3" t="s">
        <v>479</v>
      </c>
      <c r="G4" s="3" t="s">
        <v>480</v>
      </c>
      <c r="H4" s="3" t="s">
        <v>481</v>
      </c>
      <c r="I4" s="3" t="s">
        <v>102</v>
      </c>
      <c r="J4" s="3"/>
      <c r="K4" s="3"/>
      <c r="L4" s="3"/>
    </row>
    <row r="5" customFormat="false" ht="16.4" hidden="false" customHeight="false" outlineLevel="0" collapsed="false">
      <c r="A5" s="3" t="s">
        <v>482</v>
      </c>
      <c r="B5" s="3" t="s">
        <v>483</v>
      </c>
      <c r="C5" s="3" t="s">
        <v>484</v>
      </c>
      <c r="D5" s="3" t="s">
        <v>485</v>
      </c>
      <c r="E5" s="3" t="s">
        <v>486</v>
      </c>
      <c r="F5" s="3" t="s">
        <v>487</v>
      </c>
      <c r="G5" s="3" t="s">
        <v>488</v>
      </c>
      <c r="H5" s="3" t="s">
        <v>140</v>
      </c>
      <c r="I5" s="3" t="s">
        <v>102</v>
      </c>
      <c r="J5" s="3"/>
      <c r="K5" s="3"/>
      <c r="L5" s="3"/>
    </row>
    <row r="6" customFormat="false" ht="16.4" hidden="false" customHeight="false" outlineLevel="0" collapsed="false">
      <c r="A6" s="3" t="s">
        <v>489</v>
      </c>
      <c r="B6" s="3" t="s">
        <v>490</v>
      </c>
      <c r="C6" s="3" t="s">
        <v>491</v>
      </c>
      <c r="D6" s="3" t="s">
        <v>492</v>
      </c>
      <c r="E6" s="3" t="s">
        <v>493</v>
      </c>
      <c r="F6" s="3" t="s">
        <v>494</v>
      </c>
      <c r="G6" s="3" t="s">
        <v>495</v>
      </c>
      <c r="H6" s="3" t="s">
        <v>496</v>
      </c>
      <c r="I6" s="3" t="s">
        <v>102</v>
      </c>
      <c r="J6" s="3"/>
      <c r="K6" s="3"/>
      <c r="L6" s="3"/>
    </row>
    <row r="7" customFormat="false" ht="16.4" hidden="false" customHeight="false" outlineLevel="0" collapsed="false">
      <c r="A7" s="3" t="s">
        <v>253</v>
      </c>
      <c r="B7" s="3" t="s">
        <v>377</v>
      </c>
      <c r="C7" s="3" t="s">
        <v>497</v>
      </c>
      <c r="D7" s="3" t="s">
        <v>498</v>
      </c>
      <c r="E7" s="3" t="s">
        <v>499</v>
      </c>
      <c r="F7" s="3" t="s">
        <v>500</v>
      </c>
      <c r="G7" s="3" t="s">
        <v>501</v>
      </c>
      <c r="H7" s="3" t="s">
        <v>502</v>
      </c>
      <c r="I7" s="3" t="s">
        <v>102</v>
      </c>
      <c r="J7" s="3"/>
      <c r="K7" s="3"/>
      <c r="L7" s="3"/>
    </row>
    <row r="8" customFormat="false" ht="16.4" hidden="false" customHeight="false" outlineLevel="0" collapsed="false">
      <c r="A8" s="3" t="s">
        <v>368</v>
      </c>
      <c r="B8" s="3" t="s">
        <v>377</v>
      </c>
      <c r="C8" s="3" t="s">
        <v>503</v>
      </c>
      <c r="D8" s="3" t="s">
        <v>504</v>
      </c>
      <c r="E8" s="3" t="s">
        <v>505</v>
      </c>
      <c r="F8" s="3" t="s">
        <v>506</v>
      </c>
      <c r="G8" s="3" t="s">
        <v>507</v>
      </c>
      <c r="H8" s="3" t="s">
        <v>502</v>
      </c>
      <c r="I8" s="3" t="s">
        <v>102</v>
      </c>
      <c r="J8" s="3"/>
      <c r="K8" s="3"/>
      <c r="L8" s="3"/>
    </row>
    <row r="9" customFormat="false" ht="16.4" hidden="false" customHeight="false" outlineLevel="0" collapsed="false">
      <c r="A9" s="3" t="s">
        <v>376</v>
      </c>
      <c r="B9" s="3" t="s">
        <v>377</v>
      </c>
      <c r="C9" s="3" t="s">
        <v>504</v>
      </c>
      <c r="D9" s="3" t="s">
        <v>508</v>
      </c>
      <c r="E9" s="3" t="s">
        <v>509</v>
      </c>
      <c r="F9" s="3" t="s">
        <v>510</v>
      </c>
      <c r="G9" s="3" t="s">
        <v>511</v>
      </c>
      <c r="H9" s="3" t="s">
        <v>502</v>
      </c>
      <c r="I9" s="3" t="s">
        <v>102</v>
      </c>
      <c r="J9" s="3"/>
      <c r="K9" s="3"/>
      <c r="L9" s="3"/>
    </row>
    <row r="10" customFormat="false" ht="16.4" hidden="false" customHeight="false" outlineLevel="0" collapsed="false">
      <c r="A10" s="3" t="s">
        <v>334</v>
      </c>
      <c r="B10" s="3" t="s">
        <v>377</v>
      </c>
      <c r="C10" s="3" t="s">
        <v>508</v>
      </c>
      <c r="D10" s="3" t="s">
        <v>512</v>
      </c>
      <c r="E10" s="3" t="s">
        <v>513</v>
      </c>
      <c r="F10" s="3" t="s">
        <v>514</v>
      </c>
      <c r="G10" s="3" t="s">
        <v>515</v>
      </c>
      <c r="H10" s="3" t="s">
        <v>502</v>
      </c>
      <c r="I10" s="3" t="s">
        <v>102</v>
      </c>
      <c r="J10" s="3"/>
      <c r="K10" s="3"/>
      <c r="L10" s="3"/>
    </row>
    <row r="11" customFormat="false" ht="31.3" hidden="false" customHeight="false" outlineLevel="0" collapsed="false">
      <c r="A11" s="3" t="s">
        <v>341</v>
      </c>
      <c r="B11" s="3" t="s">
        <v>516</v>
      </c>
      <c r="C11" s="3" t="s">
        <v>517</v>
      </c>
      <c r="D11" s="3" t="s">
        <v>518</v>
      </c>
      <c r="E11" s="3" t="s">
        <v>519</v>
      </c>
      <c r="F11" s="3" t="s">
        <v>520</v>
      </c>
      <c r="G11" s="3" t="s">
        <v>521</v>
      </c>
      <c r="H11" s="3" t="s">
        <v>522</v>
      </c>
      <c r="I11" s="3" t="s">
        <v>102</v>
      </c>
      <c r="J11" s="3"/>
      <c r="K11" s="3"/>
      <c r="L11" s="3"/>
    </row>
    <row r="12" customFormat="false" ht="16.4" hidden="false" customHeight="false" outlineLevel="0" collapsed="false">
      <c r="A12" s="3" t="s">
        <v>523</v>
      </c>
      <c r="B12" s="3" t="s">
        <v>524</v>
      </c>
      <c r="C12" s="3" t="s">
        <v>525</v>
      </c>
      <c r="D12" s="3" t="s">
        <v>526</v>
      </c>
      <c r="E12" s="3" t="s">
        <v>527</v>
      </c>
      <c r="F12" s="3" t="s">
        <v>528</v>
      </c>
      <c r="G12" s="3" t="s">
        <v>529</v>
      </c>
      <c r="H12" s="3" t="s">
        <v>529</v>
      </c>
      <c r="I12" s="3" t="s">
        <v>530</v>
      </c>
      <c r="J12" s="3"/>
      <c r="K12" s="3" t="s">
        <v>531</v>
      </c>
      <c r="L1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3.33"/>
    <col collapsed="false" customWidth="true" hidden="false" outlineLevel="0" max="3" min="3" style="1" width="42.86"/>
    <col collapsed="false" customWidth="true" hidden="false" outlineLevel="0" max="4" min="4" style="1" width="35.66"/>
    <col collapsed="false" customWidth="true" hidden="false" outlineLevel="0" max="6" min="5" style="1" width="42.86"/>
    <col collapsed="false" customWidth="true" hidden="false" outlineLevel="0" max="7" min="7" style="1" width="31.88"/>
    <col collapsed="false" customWidth="true" hidden="false" outlineLevel="0" max="8" min="8" style="1" width="33.14"/>
    <col collapsed="false" customWidth="true" hidden="false" outlineLevel="0" max="10" min="9" style="1" width="42.86"/>
    <col collapsed="false" customWidth="true" hidden="false" outlineLevel="0" max="11" min="11" style="1" width="12.42"/>
    <col collapsed="false" customWidth="true" hidden="false" outlineLevel="0" max="12" min="12" style="1" width="15.3"/>
    <col collapsed="false" customWidth="true" hidden="false" outlineLevel="0" max="1025" min="13" style="1" width="10.77"/>
  </cols>
  <sheetData>
    <row r="1" customFormat="false" ht="16.4" hidden="false" customHeight="false" outlineLevel="0" collapsed="false">
      <c r="A1" s="3" t="s">
        <v>532</v>
      </c>
      <c r="B1" s="3" t="s">
        <v>226</v>
      </c>
      <c r="C1" s="3" t="s">
        <v>222</v>
      </c>
      <c r="D1" s="3" t="s">
        <v>533</v>
      </c>
      <c r="E1" s="3" t="s">
        <v>534</v>
      </c>
      <c r="F1" s="3" t="s">
        <v>535</v>
      </c>
      <c r="G1" s="3" t="s">
        <v>536</v>
      </c>
      <c r="H1" s="3" t="s">
        <v>537</v>
      </c>
      <c r="I1" s="3" t="s">
        <v>455</v>
      </c>
      <c r="J1" s="3" t="s">
        <v>225</v>
      </c>
      <c r="K1" s="3" t="s">
        <v>94</v>
      </c>
      <c r="L1" s="3" t="s">
        <v>92</v>
      </c>
    </row>
    <row r="2" customFormat="false" ht="31.3" hidden="false" customHeight="false" outlineLevel="0" collapsed="false">
      <c r="A2" s="3" t="s">
        <v>538</v>
      </c>
      <c r="B2" s="3" t="s">
        <v>310</v>
      </c>
      <c r="C2" s="3" t="s">
        <v>539</v>
      </c>
      <c r="D2" s="3" t="s">
        <v>540</v>
      </c>
      <c r="E2" s="3" t="s">
        <v>541</v>
      </c>
      <c r="F2" s="3" t="s">
        <v>542</v>
      </c>
      <c r="G2" s="3" t="s">
        <v>474</v>
      </c>
      <c r="H2" s="3" t="s">
        <v>474</v>
      </c>
      <c r="I2" s="3" t="s">
        <v>543</v>
      </c>
      <c r="J2" s="3" t="s">
        <v>544</v>
      </c>
      <c r="K2" s="3" t="s">
        <v>237</v>
      </c>
      <c r="L2" s="3" t="s">
        <v>102</v>
      </c>
    </row>
    <row r="3" customFormat="false" ht="16.4" hidden="false" customHeight="false" outlineLevel="0" collapsed="false">
      <c r="A3" s="3" t="s">
        <v>545</v>
      </c>
      <c r="B3" s="3" t="s">
        <v>310</v>
      </c>
      <c r="C3" s="3" t="s">
        <v>546</v>
      </c>
      <c r="D3" s="3" t="s">
        <v>547</v>
      </c>
      <c r="E3" s="3" t="s">
        <v>548</v>
      </c>
      <c r="F3" s="3" t="s">
        <v>549</v>
      </c>
      <c r="G3" s="3" t="s">
        <v>474</v>
      </c>
      <c r="H3" s="3" t="s">
        <v>474</v>
      </c>
      <c r="I3" s="3" t="s">
        <v>550</v>
      </c>
      <c r="J3" s="3" t="s">
        <v>551</v>
      </c>
      <c r="K3" s="3" t="s">
        <v>104</v>
      </c>
      <c r="L3" s="3" t="s">
        <v>102</v>
      </c>
    </row>
    <row r="4" customFormat="false" ht="16.4" hidden="false" customHeight="false" outlineLevel="0" collapsed="false">
      <c r="A4" s="3" t="s">
        <v>552</v>
      </c>
      <c r="B4" s="3" t="s">
        <v>316</v>
      </c>
      <c r="C4" s="3" t="s">
        <v>553</v>
      </c>
      <c r="D4" s="3" t="s">
        <v>554</v>
      </c>
      <c r="E4" s="3" t="s">
        <v>555</v>
      </c>
      <c r="F4" s="3" t="s">
        <v>556</v>
      </c>
      <c r="G4" s="3" t="s">
        <v>557</v>
      </c>
      <c r="H4" s="3" t="s">
        <v>558</v>
      </c>
      <c r="I4" s="3" t="s">
        <v>559</v>
      </c>
      <c r="J4" s="3" t="s">
        <v>560</v>
      </c>
      <c r="K4" s="3" t="s">
        <v>237</v>
      </c>
      <c r="L4" s="3" t="s">
        <v>102</v>
      </c>
    </row>
    <row r="5" customFormat="false" ht="46.25" hidden="false" customHeight="false" outlineLevel="0" collapsed="false">
      <c r="A5" s="3" t="s">
        <v>561</v>
      </c>
      <c r="B5" s="3" t="s">
        <v>54</v>
      </c>
      <c r="C5" s="3" t="s">
        <v>562</v>
      </c>
      <c r="D5" s="3" t="s">
        <v>563</v>
      </c>
      <c r="E5" s="3" t="s">
        <v>564</v>
      </c>
      <c r="F5" s="3" t="s">
        <v>565</v>
      </c>
      <c r="G5" s="3" t="s">
        <v>474</v>
      </c>
      <c r="H5" s="3" t="s">
        <v>253</v>
      </c>
      <c r="I5" s="3" t="s">
        <v>566</v>
      </c>
      <c r="J5" s="3" t="s">
        <v>567</v>
      </c>
      <c r="K5" s="3" t="s">
        <v>237</v>
      </c>
      <c r="L5" s="3" t="s">
        <v>102</v>
      </c>
    </row>
    <row r="6" customFormat="false" ht="31.3" hidden="false" customHeight="false" outlineLevel="0" collapsed="false">
      <c r="A6" s="3" t="s">
        <v>568</v>
      </c>
      <c r="B6" s="3" t="s">
        <v>54</v>
      </c>
      <c r="C6" s="3" t="s">
        <v>569</v>
      </c>
      <c r="D6" s="3" t="s">
        <v>570</v>
      </c>
      <c r="E6" s="3" t="s">
        <v>571</v>
      </c>
      <c r="F6" s="3" t="s">
        <v>572</v>
      </c>
      <c r="G6" s="3" t="s">
        <v>474</v>
      </c>
      <c r="H6" s="3" t="s">
        <v>573</v>
      </c>
      <c r="I6" s="3" t="s">
        <v>574</v>
      </c>
      <c r="J6" s="3" t="s">
        <v>575</v>
      </c>
      <c r="K6" s="3" t="s">
        <v>104</v>
      </c>
      <c r="L6" s="3" t="s">
        <v>102</v>
      </c>
    </row>
    <row r="7" customFormat="false" ht="31.3" hidden="false" customHeight="false" outlineLevel="0" collapsed="false">
      <c r="A7" s="3" t="s">
        <v>576</v>
      </c>
      <c r="B7" s="3" t="s">
        <v>54</v>
      </c>
      <c r="C7" s="3" t="s">
        <v>577</v>
      </c>
      <c r="D7" s="3" t="s">
        <v>578</v>
      </c>
      <c r="E7" s="3" t="s">
        <v>579</v>
      </c>
      <c r="F7" s="3" t="s">
        <v>580</v>
      </c>
      <c r="G7" s="3" t="s">
        <v>474</v>
      </c>
      <c r="H7" s="3" t="s">
        <v>573</v>
      </c>
      <c r="I7" s="3" t="s">
        <v>581</v>
      </c>
      <c r="J7" s="3" t="s">
        <v>582</v>
      </c>
      <c r="K7" s="3" t="s">
        <v>104</v>
      </c>
      <c r="L7" s="3" t="s">
        <v>102</v>
      </c>
    </row>
    <row r="8" customFormat="false" ht="31.3" hidden="false" customHeight="false" outlineLevel="0" collapsed="false">
      <c r="A8" s="3" t="s">
        <v>583</v>
      </c>
      <c r="B8" s="3" t="s">
        <v>584</v>
      </c>
      <c r="C8" s="3" t="s">
        <v>585</v>
      </c>
      <c r="D8" s="3" t="s">
        <v>586</v>
      </c>
      <c r="E8" s="3" t="s">
        <v>587</v>
      </c>
      <c r="F8" s="3" t="s">
        <v>588</v>
      </c>
      <c r="G8" s="3" t="s">
        <v>230</v>
      </c>
      <c r="H8" s="3" t="s">
        <v>253</v>
      </c>
      <c r="I8" s="3" t="s">
        <v>589</v>
      </c>
      <c r="J8" s="3" t="s">
        <v>590</v>
      </c>
      <c r="K8" s="3" t="s">
        <v>237</v>
      </c>
      <c r="L8" s="3" t="s">
        <v>102</v>
      </c>
    </row>
    <row r="9" customFormat="false" ht="16.4" hidden="false" customHeight="false" outlineLevel="0" collapsed="false">
      <c r="A9" s="3" t="s">
        <v>591</v>
      </c>
      <c r="B9" s="3" t="s">
        <v>584</v>
      </c>
      <c r="C9" s="3" t="s">
        <v>592</v>
      </c>
      <c r="D9" s="3" t="s">
        <v>593</v>
      </c>
      <c r="E9" s="3" t="s">
        <v>594</v>
      </c>
      <c r="F9" s="3" t="s">
        <v>595</v>
      </c>
      <c r="G9" s="3" t="s">
        <v>596</v>
      </c>
      <c r="H9" s="3" t="s">
        <v>597</v>
      </c>
      <c r="I9" s="3" t="s">
        <v>598</v>
      </c>
      <c r="J9" s="3" t="s">
        <v>599</v>
      </c>
      <c r="K9" s="3" t="s">
        <v>166</v>
      </c>
      <c r="L9" s="3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2026-04-09T02:01:09Z</dcterms:modified>
  <cp:revision>16</cp:revision>
  <dc:subject/>
  <dc:title/>
</cp:coreProperties>
</file>