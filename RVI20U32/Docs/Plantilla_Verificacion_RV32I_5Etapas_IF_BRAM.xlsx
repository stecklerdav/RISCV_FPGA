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42.xml" ContentType="application/vnd.openxmlformats-officedocument.drawingml.chart+xml"/>
  <Override PartName="/xl/charts/chart41.xml" ContentType="application/vnd.openxmlformats-officedocument.drawingml.chart+xml"/>
  <Override PartName="/xl/media/image191.png" ContentType="image/png"/>
  <Override PartName="/xl/media/image190.png" ContentType="image/png"/>
  <Override PartName="/xl/media/image189.png" ContentType="image/png"/>
  <Override PartName="/xl/media/image188.png" ContentType="image/png"/>
  <Override PartName="/xl/media/image187.png" ContentType="image/png"/>
  <Override PartName="/xl/media/image186.png" ContentType="image/png"/>
  <Override PartName="/xl/media/image185.png" ContentType="image/png"/>
  <Override PartName="/xl/media/image184.png" ContentType="image/png"/>
  <Override PartName="/xl/media/image183.png" ContentType="image/png"/>
  <Override PartName="/xl/media/image182.png" ContentType="image/png"/>
  <Override PartName="/xl/media/image181.png" ContentType="image/png"/>
  <Override PartName="/xl/media/image180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<sst xmlns="http://schemas.openxmlformats.org/spreadsheetml/2006/main" count="1224" uniqueCount="618">
  <si>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</si>
  <si>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</si>
  <si>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</si>
  <si>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</si>
  <si>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</si>
  <si>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</si>
  <si>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</si>
  <si>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</si>
  <si>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</si>
  <si>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</si>
  <si>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</si>
  <si>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</si>
  <si>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</si>
  <si>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</si>
  <si>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</si>
  <si>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</si>
  <si>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</si>
  <si>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</si>
  <si>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</si>
  <si>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</si>
  <si>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</si>
  <si>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</si>
  <si>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</si>
  <si>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</si>
  <si>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</si>
  <si>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</si>
  <si>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</si>
  <si>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</si>
  <si>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</si>
  <si>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</si>
  <si>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</si>
  <si>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</si>
  <si>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</si>
  <si>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</si>
  <si>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</si>
  <si>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</si>
  <si>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</si>
  <si>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</si>
  <si>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</si>
  <si>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</si>
  <si>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</si>
  <si>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</si>
  <si>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</si>
  <si>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</si>
  <si>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</si>
  <si>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</si>
  <si>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</si>
  <si>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</si>
  <si>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</si>
  <si>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</si>
  <si>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</si>
  <si>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</si>
  <si>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</si>
  <si>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</si>
  <si>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</si>
  <si>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</si>
  <si>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</si>
  <si>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</si>
  <si>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</si>
  <si>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</si>
  <si>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</si>
  <si>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</si>
  <si>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</si>
  <si>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</si>
  <si>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</si>
  <si>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</si>
  <si>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</si>
  <si>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</si>
  <si>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</si>
  <si>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</si>
  <si>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</si>
  <si>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</si>
  <si>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</si>
  <si>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</si>
  <si>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</si>
  <si>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</si>
  <si>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</si>
  <si>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</si>
  <si>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</si>
  <si>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</si>
  <si>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</si>
  <si>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</si>
  <si>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</si>
  <si>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</si>
  <si>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</si>
  <si>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</si>
  <si>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</si>
  <si>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</si>
  <si>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</si>
  <si>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</si>
  <si>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</si>
  <si>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</si>
  <si>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</si>
  <si>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</si>
  <si>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</si>
  <si>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</si>
  <si>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</si>
  <si>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</si>
  <si>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</si>
  <si>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</si>
  <si>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</si>
  <si>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</si>
  <si>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</si>
  <si>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</si>
  <si>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</si>
  <si>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</si>
  <si>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</si>
  <si>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</si>
  <si>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</si>
  <si>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</si>
  <si>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</si>
  <si>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</si>
  <si>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</si>
  <si>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</si>
  <si>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</si>
  <si>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</si>
  <si>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</si>
  <si>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</si>
  <si>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</si>
  <si>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</si>
  <si>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</si>
  <si>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</si>
  <si>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</si>
  <si>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</si>
  <si>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</si>
  <si>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</si>
  <si>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</si>
  <si>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</si>
  <si>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</si>
  <si>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</si>
  <si>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</si>
  <si>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</si>
  <si>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</si>
  <si>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</si>
  <si>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</si>
  <si>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</si>
  <si>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</si>
  <si>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</si>
  <si>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</si>
  <si>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</si>
  <si>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</si>
  <si>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</si>
  <si>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</si>
  <si>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</si>
  <si>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</si>
  <si>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</si>
  <si>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</si>
  <si>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</si>
  <si>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</si>
  <si>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</si>
  <si>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</si>
  <si>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</si>
  <si>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</si>
  <si>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</si>
  <si>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</si>
  <si>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</si>
  <si>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</si>
  <si>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</si>
  <si>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</si>
  <si>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</si>
  <si>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</si>
  <si>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</si>
  <si>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</si>
  <si>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</si>
  <si>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</si>
  <si>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</si>
  <si>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</si>
  <si>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</si>
  <si>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</si>
  <si>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</si>
  <si>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</si>
  <si>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</si>
  <si>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</si>
  <si>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</si>
  <si>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</si>
  <si>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</si>
  <si>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</si>
  <si>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</si>
  <si>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</si>
  <si>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</si>
  <si>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</si>
  <si>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</si>
  <si>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</si>
  <si>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</si>
  <si>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</si>
  <si>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</si>
  <si>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</si>
  <si>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</si>
  <si>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</si>
  <si>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</si>
  <si>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</si>
  <si>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</si>
  <si>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</si>
  <si>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</si>
  <si>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</si>
  <si>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</si>
  <si>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</si>
  <si>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</si>
  <si>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</si>
  <si>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</si>
  <si>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</si>
  <si>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</si>
  <si>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</si>
  <si>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</si>
  <si>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</si>
  <si>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</si>
  <si>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</si>
  <si>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</si>
  <si>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</si>
  <si>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</si>
  <si>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</si>
  <si>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</si>
  <si>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</si>
  <si>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</si>
  <si>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</si>
  <si>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</si>
  <si>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</si>
  <si>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</si>
  <si>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</si>
  <si>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</si>
  <si>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</si>
  <si>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</si>
  <si>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</si>
  <si>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</si>
  <si>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</si>
  <si>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</si>
  <si>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</si>
  <si>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</si>
  <si>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</si>
  <si>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</si>
  <si>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</si>
  <si>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</si>
  <si>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</si>
  <si>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</si>
  <si>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</si>
  <si>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</si>
  <si>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</si>
  <si>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Completado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</si>
  <si>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</si>
  <si>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</si>
  <si>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</si>
  <si>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</si>
  <si>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</si>
  <si>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</si>
  <si>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</si>
  <si>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</si>
  <si>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</si>
  <si>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</si>
  <si>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</si>
  <si>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</si>
  <si>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</si>
  <si>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</si>
  <si>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</si>
  <si>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</si>
  <si>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</si>
  <si>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</si>
  <si>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</si>
  <si>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</si>
  <si>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</si>
  <si>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</si>
  <si>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</si>
  <si>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</si>
  <si>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</si>
  <si>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</si>
  <si>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</si>
  <si>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</si>
  <si>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</si>
  <si>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</si>
  <si>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</si>
  <si>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</si>
  <si>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</si>
  <si>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</si>
  <si>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</si>
  <si>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</si>
  <si>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</si>
  <si>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</si>
  <si>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</si>
  <si>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</si>
  <si>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</si>
  <si>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</si>
  <si>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</si>
  <si>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</si>
  <si>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</si>
  <si>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</si>
  <si>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</si>
  <si>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</si>
  <si>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</si>
  <si>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</si>
  <si>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</si>
  <si>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</si>
  <si>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</si>
  <si>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</si>
  <si>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</si>
  <si>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</si>
  <si>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</si>
  <si>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</si>
  <si>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</si>
  <si>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</si>
  <si>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</si>
  <si>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</si>
  <si>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</si>
  <si>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</si>
  <si>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</si>
  <si>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</si>
  <si>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</si>
  <si>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</si>
  <si>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</si>
  <si>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</si>
  <si>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</si>
  <si>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</si>
  <si>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</si>
  <si>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</si>
  <si>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</si>
  <si>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</si>
  <si>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</si>
  <si>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</si>
  <si>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</si>
  <si>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</si>
  <si>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</si>
  <si>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</si>
  <si>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</si>
  <si>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</si>
  <si>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</si>
  <si>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</si>
  <si>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</si>
  <si>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</si>
  <si>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</si>
  <si>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</si>
  <si>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</si>
  <si>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</si>
  <si>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</si>
  <si>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</si>
  <si>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</si>
  <si>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</si>
  <si>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</si>
  <si>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</si>
  <si>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</si>
  <si>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</si>
  <si>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</si>
  <si>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</si>
  <si>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</si>
  <si>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</si>
  <si>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</si>
  <si>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</si>
  <si>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</si>
  <si>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</si>
  <si>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</si>
  <si>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</si>
  <si>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</si>
  <si>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</si>
  <si>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</si>
  <si>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</si>
  <si>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</si>
  <si>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</si>
  <si>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</si>
  <si>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</si>
  <si>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</si>
  <si>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</si>
  <si>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</si>
  <si>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</si>
  <si>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</si>
  <si>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TC-006 </t>
  </si>
  <si>
    <t xml:space="preserve">.section .text.start
.globl _start
_start:
	addi x1, x0, 7
	add  x2, x1, x1
	sub  x3, x2, x1      
	ori  x4, x3, 3
	andi x5, x4, 15
	//jal  x0, done
	.word 0xFFFFFFFF   # illegal
Done:
	jal x0, done</t>
  </si>
  <si>
    <t xml:space="preserve">illegal OP = 1 → OK</t>
  </si>
  <si>
    <t xml:space="preserve">.section .text.start
.globl _start
_start:
    # 1) x0 debe ignorar escritura
    addi x0, x0, 123
    # 2) verificar lectura de x0
    addi x1, x0, 0          # x1 = 0
    addi x2, x0, 5          # x2 = 5
    # 3) escritura normal
    addi x3, x0, 10         # x3 = 10
    addi x4, x0, 20         # x4 = 20
    # 4) lectura de dos operandos desde regfile
    add  x5, x3, x4         # x5 = 30
    # 5) verificar que registros previos conservan valor
    addi x6, x3, 0          # x6 = 10
    addi x7, x4, 0          # x7 = 20
    # 6) probar reescritura de un registro
    addi x3, x0, 99         # x3 = 99
    add  x8, x3, x1         # x8 = 99 + 0 = 99
    # 7) comprobar que x0 sigue siendo 0 incluso después
    addi x9, x0, 0          # x9 = 0
done:
    jal x0, done</t>
  </si>
  <si>
    <t xml:space="preserve">
.section .text.start
.globl _start
_start:
    addi x1, x0, -1          # I-type
    lui  x2, 0x12345         # U-type
    auipc x3, 0              # U-type relativo a PC
    beq  x0, x0, label_b     # B-type
    addi x4, x0, 99          # wrong-path
label_b:
    jal  x5, label_j         # J-type
    addi x6, x0, 88          # wrong-path
label_j:
    addi x7, x0, 7
done:
    jal x0, done</t>
  </si>
  <si>
    <t xml:space="preserve">.section .text.start
.globl _start
_start:
    addi x1, x0, 1
    slli x2, x1, 3
    srli x3, x2, 1
    srai x4, x3, 1
    addi x5, x0, -1
    srai x6, x5, 4
    srli x7, x5, 4
done:
    jal x0, done</t>
  </si>
  <si>
    <t xml:space="preserve">.section .text.start
.globl _start
_start:
    addi x1, x0, 5
    addi x2, x0, 5
    beq  x1, x2, beq_ok
    addi x3, x0, 11          # wrong-path
beq_ok:
    addi x4, x0, 1
    bne  x1, x2, bne_fail
    addi x5, x0, 2           # sí debe ejecutar
    jal  x0, done
bne_fail:
    addi x6, x0, 99
done:
    jal x0, done</t>
  </si>
  <si>
    <t xml:space="preserve">.section .text.start
.globl _start
_start:
    jal  x1, target
    addi x2, x0, 22          # wrong-path
target:
    addi x3, x1, 0
done:
    jal x0, done</t>
  </si>
  <si>
    <t xml:space="preserve">.section .text.start
.globl _start
_start:
    auipc x10, 0
    addi  x10, x10, target - _start
    jalr  x1, x10, 0
    addi  x2, x0, 22         # wrong-path
target:
    addi  x3, x0, 77
done:
    jal x0, done</t>
  </si>
  <si>
    <t xml:space="preserve">.section .text.start
.globl _start
_start:
    addi x1, x0, 9
    add  x2, x1, x1
    addi x3, x2, 1
    add  x4, x3, x2
done:
    jal x0, done</t>
  </si>
  <si>
    <t xml:space="preserve">.section .text.start
.globl _start
.equ RAM_BASE, 0x00000100
_start:
    addi x1, x0, 42
    lui  x10, %hi(RAM_BASE)
    addi x10, x10, %lo(RAM_BASE)
    sw   x1, 0(x10)
    lw   x2, 0(x10)
    addi x3, x2, 1
    add  x4, x3, x2
done:
    jal x0, done</t>
  </si>
  <si>
    <t xml:space="preserve">.section .text.start
.globl _start
.equ RAM_BASE, 0x00000100
_start:
    lui  x10, %hi(RAM_BASE)
    addi x10, x10, %lo(RAM_BASE)
    addi x1, x0, -1
    sb   x1, 0(x10)
    lb   x2, 0(x10)
    lbu  x3, 0(x10)
    lui  x4, 0x00008
    sh   x4, 4(x10)
    lh   x5, 4(x10)
    lhu  x6, 4(x10)
    sw   x4, 8(x10)
    lw   x7, 8(x10)
done:
    jal x0, done</t>
  </si>
  <si>
    <t xml:space="preserve">.section .text.start
.globl _start
.equ RAM_BASE, 0x00000100
_start:
    lui  x10, %hi(RAM_BASE)
    addi x10, x10, %lo(RAM_BASE)
    addi x1, x0, 0x11
    sb   x1, 0(x10)
    lui  x2, 0x00002         # 0x00002000
    addi x2, x2, 0x22
    sh   x2, 4(x10)
    lui  x3, 0x12345
    addi x3, x3, 0x678
    sw   x3, 8(x10)
    lb   x4, 0(x10)
    lh   x5, 4(x10)
    lw   x6, 8(x10)
done:
    jal x0, done
</t>
  </si>
  <si>
    <t xml:space="preserve">.section .text.start
.globl _start
.equ RAM_BASE, 0x00000100
_start:
    addi x1, x0, 7           # fuente ALU
    lui  x2, 0x12345         # fuente IMM/U
    lui  x10, %hi(RAM_BASE)
    addi x10, x10, %lo(RAM_BASE)
    sw   x1, 0(x10)
    lw   x3, 0(x10)          # fuente MEM
    jal  x4, target          # fuente PC+4
    addi x5, x0, 99          # wrong-path
target:
    addi x6, x0, 1
done:
    jal x0, done
</t>
  </si>
  <si>
    <t xml:space="preserve">
.section .text.start
.globl _start
.equ RAM_BASE, 0x00000100
_start:
    lui  x10, %hi(RAM_BASE)
    addi x10, x10, %lo(RAM_BASE)
    addi x1, x0, 0
    sw   x1, 0(x10)
    lw   x2, 0(x10)
    beq  x2, x0, target
    addi x3, x2, 1           # depende de lw y además está en wrong-path
target:
    addi x4, x0, 4
done:
    jal x0, done
</t>
  </si>
  <si>
    <t xml:space="preserve">.section .text.start
.globl _start
.equ RAM_BASE, 0x00000100
_start:
    addi x1, x0, 5
    addi x2, x0, 6
    add  x3, x1, x2          # 11
    addi x4, x3, 1           # 12
    lui  x10, %hi(RAM_BASE)
    addi x10, x10, %lo(RAM_BASE)
    sw   x4, 0(x10)
    lw   x5, 0(x10)          # 12
    addi x6, x5, 1           # 13
    beq  x6, x4, skip
    addi x7, x0, 77          # sí ejecuta si beq no tomado
skip:
    jal  x8, target
    addi x9, x0, 99          # wrong-path
target:
    addi x11, x0, 11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</si>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</sst>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4139189"/>
        <c:axId val="54603511"/>
      </c:barChart>
      <c:catAx>
        <c:axId val="3413918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4603511"/>
        <c:crosses val="autoZero"/>
        <c:auto val="1"/>
        <c:lblAlgn val="ctr"/>
        <c:lblOffset val="100"/>
      </c:catAx>
      <c:valAx>
        <c:axId val="5460351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4139189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50367396"/>
        <c:axId val="3793270"/>
      </c:barChart>
      <c:catAx>
        <c:axId val="5036739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793270"/>
        <c:crosses val="autoZero"/>
        <c:auto val="1"/>
        <c:lblAlgn val="ctr"/>
        <c:lblOffset val="100"/>
      </c:catAx>
      <c:valAx>
        <c:axId val="379327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0367396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80.png"/><Relationship Id="rId2" Type="http://schemas.openxmlformats.org/officeDocument/2006/relationships/image" Target="../media/image181.png"/><Relationship Id="rId3" Type="http://schemas.openxmlformats.org/officeDocument/2006/relationships/image" Target="../media/image182.png"/><Relationship Id="rId4" Type="http://schemas.openxmlformats.org/officeDocument/2006/relationships/image" Target="../media/image183.png"/><Relationship Id="rId5" Type="http://schemas.openxmlformats.org/officeDocument/2006/relationships/image" Target="../media/image184.png"/><Relationship Id="rId6" Type="http://schemas.openxmlformats.org/officeDocument/2006/relationships/image" Target="../media/image185.png"/><Relationship Id="rId7" Type="http://schemas.openxmlformats.org/officeDocument/2006/relationships/image" Target="../media/image186.png"/><Relationship Id="rId8" Type="http://schemas.openxmlformats.org/officeDocument/2006/relationships/image" Target="../media/image187.png"/><Relationship Id="rId9" Type="http://schemas.openxmlformats.org/officeDocument/2006/relationships/image" Target="../media/image188.png"/><Relationship Id="rId10" Type="http://schemas.openxmlformats.org/officeDocument/2006/relationships/image" Target="../media/image189.png"/><Relationship Id="rId11" Type="http://schemas.openxmlformats.org/officeDocument/2006/relationships/image" Target="../media/image190.png"/><Relationship Id="rId12" Type="http://schemas.openxmlformats.org/officeDocument/2006/relationships/image" Target="../media/image19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1366200</xdr:colOff>
      <xdr:row>39</xdr:row>
      <xdr:rowOff>173160</xdr:rowOff>
    </xdr:from>
    <xdr:to>
      <xdr:col>8</xdr:col>
      <xdr:colOff>1443960</xdr:colOff>
      <xdr:row>48</xdr:row>
      <xdr:rowOff>54000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629960" y="9009720"/>
          <a:ext cx="18283680" cy="32940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1378800</xdr:colOff>
      <xdr:row>24</xdr:row>
      <xdr:rowOff>125280</xdr:rowOff>
    </xdr:from>
    <xdr:to>
      <xdr:col>8</xdr:col>
      <xdr:colOff>1470960</xdr:colOff>
      <xdr:row>36</xdr:row>
      <xdr:rowOff>58320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4642560" y="4957560"/>
          <a:ext cx="18298080" cy="3365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1406880</xdr:colOff>
      <xdr:row>51</xdr:row>
      <xdr:rowOff>147600</xdr:rowOff>
    </xdr:from>
    <xdr:to>
      <xdr:col>8</xdr:col>
      <xdr:colOff>1469880</xdr:colOff>
      <xdr:row>59</xdr:row>
      <xdr:rowOff>91800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4670640" y="12968640"/>
          <a:ext cx="18268920" cy="30024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1394280</xdr:colOff>
      <xdr:row>61</xdr:row>
      <xdr:rowOff>172080</xdr:rowOff>
    </xdr:from>
    <xdr:to>
      <xdr:col>9</xdr:col>
      <xdr:colOff>14760</xdr:colOff>
      <xdr:row>75</xdr:row>
      <xdr:rowOff>86400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4658040" y="16432200"/>
          <a:ext cx="18303480" cy="36856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1431720</xdr:colOff>
      <xdr:row>78</xdr:row>
      <xdr:rowOff>117360</xdr:rowOff>
    </xdr:from>
    <xdr:to>
      <xdr:col>8</xdr:col>
      <xdr:colOff>1451160</xdr:colOff>
      <xdr:row>84</xdr:row>
      <xdr:rowOff>40680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4695480" y="20664360"/>
          <a:ext cx="18225360" cy="41295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89</xdr:row>
      <xdr:rowOff>107640</xdr:rowOff>
    </xdr:from>
    <xdr:to>
      <xdr:col>8</xdr:col>
      <xdr:colOff>1462680</xdr:colOff>
      <xdr:row>102</xdr:row>
      <xdr:rowOff>73800</xdr:rowOff>
    </xdr:to>
    <xdr:pic>
      <xdr:nvPicPr>
        <xdr:cNvPr id="5" name="Imagen 6" descr=""/>
        <xdr:cNvPicPr/>
      </xdr:nvPicPr>
      <xdr:blipFill>
        <a:blip r:embed="rId6"/>
        <a:stretch/>
      </xdr:blipFill>
      <xdr:spPr>
        <a:xfrm>
          <a:off x="4667400" y="25785720"/>
          <a:ext cx="18264960" cy="41317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1404360</xdr:colOff>
      <xdr:row>103</xdr:row>
      <xdr:rowOff>116280</xdr:rowOff>
    </xdr:from>
    <xdr:to>
      <xdr:col>8</xdr:col>
      <xdr:colOff>1473120</xdr:colOff>
      <xdr:row>104</xdr:row>
      <xdr:rowOff>4334040</xdr:rowOff>
    </xdr:to>
    <xdr:pic>
      <xdr:nvPicPr>
        <xdr:cNvPr id="6" name="Imagen 7" descr=""/>
        <xdr:cNvPicPr/>
      </xdr:nvPicPr>
      <xdr:blipFill>
        <a:blip r:embed="rId7"/>
        <a:stretch/>
      </xdr:blipFill>
      <xdr:spPr>
        <a:xfrm>
          <a:off x="4668120" y="30150360"/>
          <a:ext cx="18274680" cy="4408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106</xdr:row>
      <xdr:rowOff>177480</xdr:rowOff>
    </xdr:from>
    <xdr:to>
      <xdr:col>8</xdr:col>
      <xdr:colOff>1452960</xdr:colOff>
      <xdr:row>126</xdr:row>
      <xdr:rowOff>12600</xdr:rowOff>
    </xdr:to>
    <xdr:pic>
      <xdr:nvPicPr>
        <xdr:cNvPr id="7" name="Imagen 8" descr=""/>
        <xdr:cNvPicPr/>
      </xdr:nvPicPr>
      <xdr:blipFill>
        <a:blip r:embed="rId8"/>
        <a:stretch/>
      </xdr:blipFill>
      <xdr:spPr>
        <a:xfrm>
          <a:off x="4667400" y="35050320"/>
          <a:ext cx="18255240" cy="63374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1404000</xdr:colOff>
      <xdr:row>130</xdr:row>
      <xdr:rowOff>18000</xdr:rowOff>
    </xdr:from>
    <xdr:to>
      <xdr:col>8</xdr:col>
      <xdr:colOff>1463040</xdr:colOff>
      <xdr:row>145</xdr:row>
      <xdr:rowOff>150840</xdr:rowOff>
    </xdr:to>
    <xdr:pic>
      <xdr:nvPicPr>
        <xdr:cNvPr id="8" name="Imagen 9" descr=""/>
        <xdr:cNvPicPr/>
      </xdr:nvPicPr>
      <xdr:blipFill>
        <a:blip r:embed="rId9"/>
        <a:stretch/>
      </xdr:blipFill>
      <xdr:spPr>
        <a:xfrm>
          <a:off x="4667760" y="42155280"/>
          <a:ext cx="18264960" cy="49712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1364400</xdr:colOff>
      <xdr:row>148</xdr:row>
      <xdr:rowOff>50760</xdr:rowOff>
    </xdr:from>
    <xdr:to>
      <xdr:col>8</xdr:col>
      <xdr:colOff>1423440</xdr:colOff>
      <xdr:row>160</xdr:row>
      <xdr:rowOff>30600</xdr:rowOff>
    </xdr:to>
    <xdr:pic>
      <xdr:nvPicPr>
        <xdr:cNvPr id="9" name="Imagen 10" descr=""/>
        <xdr:cNvPicPr/>
      </xdr:nvPicPr>
      <xdr:blipFill>
        <a:blip r:embed="rId10"/>
        <a:stretch/>
      </xdr:blipFill>
      <xdr:spPr>
        <a:xfrm>
          <a:off x="4628160" y="47598120"/>
          <a:ext cx="18264960" cy="49582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1337760</xdr:colOff>
      <xdr:row>162</xdr:row>
      <xdr:rowOff>102240</xdr:rowOff>
    </xdr:from>
    <xdr:to>
      <xdr:col>8</xdr:col>
      <xdr:colOff>1387080</xdr:colOff>
      <xdr:row>176</xdr:row>
      <xdr:rowOff>101160</xdr:rowOff>
    </xdr:to>
    <xdr:pic>
      <xdr:nvPicPr>
        <xdr:cNvPr id="10" name="Imagen 11" descr=""/>
        <xdr:cNvPicPr/>
      </xdr:nvPicPr>
      <xdr:blipFill>
        <a:blip r:embed="rId11"/>
        <a:stretch/>
      </xdr:blipFill>
      <xdr:spPr>
        <a:xfrm>
          <a:off x="4601520" y="53008920"/>
          <a:ext cx="18255240" cy="39081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1377360</xdr:colOff>
      <xdr:row>180</xdr:row>
      <xdr:rowOff>38520</xdr:rowOff>
    </xdr:from>
    <xdr:to>
      <xdr:col>8</xdr:col>
      <xdr:colOff>1446120</xdr:colOff>
      <xdr:row>192</xdr:row>
      <xdr:rowOff>32400</xdr:rowOff>
    </xdr:to>
    <xdr:pic>
      <xdr:nvPicPr>
        <xdr:cNvPr id="11" name="Imagen 12" descr=""/>
        <xdr:cNvPicPr/>
      </xdr:nvPicPr>
      <xdr:blipFill>
        <a:blip r:embed="rId12"/>
        <a:stretch/>
      </xdr:blipFill>
      <xdr:spPr>
        <a:xfrm>
          <a:off x="4641120" y="57560400"/>
          <a:ext cx="18274680" cy="387000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756720</xdr:colOff>
      <xdr:row>16</xdr:row>
      <xdr:rowOff>130680</xdr:rowOff>
    </xdr:to>
    <xdr:graphicFrame>
      <xdr:nvGraphicFramePr>
        <xdr:cNvPr id="12" name="Chart"/>
        <xdr:cNvGraphicFramePr/>
      </xdr:nvGraphicFramePr>
      <xdr:xfrm>
        <a:off x="9531000" y="380880"/>
        <a:ext cx="4912920" cy="304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756720</xdr:colOff>
      <xdr:row>38</xdr:row>
      <xdr:rowOff>5760</xdr:rowOff>
    </xdr:to>
    <xdr:graphicFrame>
      <xdr:nvGraphicFramePr>
        <xdr:cNvPr id="13" name="Chart"/>
        <xdr:cNvGraphicFramePr/>
      </xdr:nvGraphicFramePr>
      <xdr:xfrm>
        <a:off x="9531000" y="3619080"/>
        <a:ext cx="4912920" cy="399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22"/>
  <sheetViews>
    <sheetView showFormulas="false" showGridLines="true" showRowColHeaders="true" showZeros="true" rightToLeft="false" tabSelected="true" showOutlineSymbols="true" defaultGridColor="true" view="normal" topLeftCell="A178" colorId="64" zoomScale="75" zoomScaleNormal="75" zoomScalePageLayoutView="100" workbookViewId="0">
      <selection pane="topLeft" activeCell="D195" activeCellId="0" sqref="D195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4.9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237</v>
      </c>
      <c r="K2" s="3" t="s">
        <v>238</v>
      </c>
      <c r="L2" s="10" t="s">
        <v>239</v>
      </c>
      <c r="M2" s="11" t="s">
        <v>240</v>
      </c>
    </row>
    <row r="3" customFormat="false" ht="14.9" hidden="false" customHeight="false" outlineLevel="0" collapsed="false">
      <c r="A3" s="5" t="s">
        <v>241</v>
      </c>
      <c r="B3" s="3" t="s">
        <v>230</v>
      </c>
      <c r="C3" s="3" t="s">
        <v>242</v>
      </c>
      <c r="D3" s="3" t="s">
        <v>243</v>
      </c>
      <c r="E3" s="3" t="s">
        <v>244</v>
      </c>
      <c r="F3" s="3" t="s">
        <v>245</v>
      </c>
      <c r="G3" s="3" t="s">
        <v>246</v>
      </c>
      <c r="H3" s="3" t="s">
        <v>236</v>
      </c>
      <c r="I3" s="3" t="s">
        <v>37</v>
      </c>
      <c r="J3" s="3" t="s">
        <v>237</v>
      </c>
      <c r="K3" s="3" t="s">
        <v>238</v>
      </c>
      <c r="L3" s="12"/>
      <c r="M3" s="13"/>
    </row>
    <row r="4" customFormat="false" ht="14.9" hidden="false" customHeight="false" outlineLevel="0" collapsed="false">
      <c r="A4" s="5" t="s">
        <v>247</v>
      </c>
      <c r="B4" s="3" t="s">
        <v>230</v>
      </c>
      <c r="C4" s="3" t="s">
        <v>248</v>
      </c>
      <c r="D4" s="3" t="s">
        <v>249</v>
      </c>
      <c r="E4" s="3" t="s">
        <v>250</v>
      </c>
      <c r="F4" s="3" t="s">
        <v>251</v>
      </c>
      <c r="G4" s="3" t="s">
        <v>252</v>
      </c>
      <c r="H4" s="3" t="s">
        <v>236</v>
      </c>
      <c r="I4" s="3" t="s">
        <v>37</v>
      </c>
      <c r="J4" s="3" t="s">
        <v>237</v>
      </c>
      <c r="K4" s="3" t="s">
        <v>238</v>
      </c>
      <c r="L4" s="12"/>
      <c r="M4" s="13"/>
    </row>
    <row r="5" customFormat="false" ht="14.9" hidden="false" customHeight="false" outlineLevel="0" collapsed="false">
      <c r="A5" s="5" t="s">
        <v>253</v>
      </c>
      <c r="B5" s="3" t="s">
        <v>254</v>
      </c>
      <c r="C5" s="3" t="s">
        <v>255</v>
      </c>
      <c r="D5" s="3" t="s">
        <v>256</v>
      </c>
      <c r="E5" s="3" t="s">
        <v>257</v>
      </c>
      <c r="F5" s="3" t="s">
        <v>258</v>
      </c>
      <c r="G5" s="3" t="s">
        <v>259</v>
      </c>
      <c r="H5" s="3" t="s">
        <v>236</v>
      </c>
      <c r="I5" s="3" t="s">
        <v>37</v>
      </c>
      <c r="J5" s="3" t="s">
        <v>237</v>
      </c>
      <c r="K5" s="3" t="s">
        <v>104</v>
      </c>
      <c r="L5" s="12"/>
      <c r="M5" s="13"/>
    </row>
    <row r="6" customFormat="false" ht="14.9" hidden="false" customHeight="false" outlineLevel="0" collapsed="false">
      <c r="A6" s="5" t="s">
        <v>260</v>
      </c>
      <c r="B6" s="3" t="s">
        <v>254</v>
      </c>
      <c r="C6" s="3" t="s">
        <v>255</v>
      </c>
      <c r="D6" s="3" t="s">
        <v>261</v>
      </c>
      <c r="E6" s="3" t="s">
        <v>262</v>
      </c>
      <c r="F6" s="3" t="s">
        <v>263</v>
      </c>
      <c r="G6" s="3" t="s">
        <v>264</v>
      </c>
      <c r="H6" s="3" t="s">
        <v>236</v>
      </c>
      <c r="I6" s="3" t="s">
        <v>37</v>
      </c>
      <c r="J6" s="3" t="s">
        <v>237</v>
      </c>
      <c r="K6" s="3" t="s">
        <v>238</v>
      </c>
      <c r="L6" s="12"/>
      <c r="M6" s="13"/>
    </row>
    <row r="7" customFormat="false" ht="16.4" hidden="false" customHeight="false" outlineLevel="0" collapsed="false">
      <c r="A7" s="5" t="s">
        <v>265</v>
      </c>
      <c r="B7" s="3" t="s">
        <v>266</v>
      </c>
      <c r="C7" s="3" t="s">
        <v>267</v>
      </c>
      <c r="D7" s="3" t="s">
        <v>268</v>
      </c>
      <c r="E7" s="3" t="s">
        <v>269</v>
      </c>
      <c r="F7" s="3" t="s">
        <v>270</v>
      </c>
      <c r="G7" s="3" t="s">
        <v>271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272</v>
      </c>
      <c r="B8" s="3" t="s">
        <v>273</v>
      </c>
      <c r="C8" s="3" t="s">
        <v>274</v>
      </c>
      <c r="D8" s="3" t="s">
        <v>275</v>
      </c>
      <c r="E8" s="3" t="s">
        <v>276</v>
      </c>
      <c r="F8" s="3" t="s">
        <v>277</v>
      </c>
      <c r="G8" s="3" t="s">
        <v>278</v>
      </c>
      <c r="H8" s="3" t="s">
        <v>279</v>
      </c>
      <c r="I8" s="3" t="s">
        <v>37</v>
      </c>
      <c r="J8" s="3" t="s">
        <v>102</v>
      </c>
      <c r="K8" s="3" t="s">
        <v>238</v>
      </c>
      <c r="L8" s="12"/>
      <c r="M8" s="13"/>
    </row>
    <row r="9" customFormat="false" ht="16.4" hidden="false" customHeight="false" outlineLevel="0" collapsed="false">
      <c r="A9" s="5" t="s">
        <v>280</v>
      </c>
      <c r="B9" s="3" t="s">
        <v>281</v>
      </c>
      <c r="C9" s="3" t="s">
        <v>282</v>
      </c>
      <c r="D9" s="3" t="s">
        <v>283</v>
      </c>
      <c r="E9" s="3" t="s">
        <v>284</v>
      </c>
      <c r="F9" s="3" t="s">
        <v>285</v>
      </c>
      <c r="G9" s="3" t="s">
        <v>286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287</v>
      </c>
      <c r="B10" s="3" t="s">
        <v>163</v>
      </c>
      <c r="C10" s="3" t="s">
        <v>288</v>
      </c>
      <c r="D10" s="3" t="s">
        <v>289</v>
      </c>
      <c r="E10" s="3" t="s">
        <v>290</v>
      </c>
      <c r="F10" s="3" t="s">
        <v>291</v>
      </c>
      <c r="G10" s="3" t="s">
        <v>292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293</v>
      </c>
      <c r="B11" s="3" t="s">
        <v>122</v>
      </c>
      <c r="C11" s="3" t="s">
        <v>54</v>
      </c>
      <c r="D11" s="3" t="s">
        <v>294</v>
      </c>
      <c r="E11" s="3" t="s">
        <v>295</v>
      </c>
      <c r="F11" s="3" t="s">
        <v>296</v>
      </c>
      <c r="G11" s="3" t="s">
        <v>297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298</v>
      </c>
      <c r="B12" s="3" t="s">
        <v>299</v>
      </c>
      <c r="C12" s="3" t="s">
        <v>54</v>
      </c>
      <c r="D12" s="3" t="s">
        <v>300</v>
      </c>
      <c r="E12" s="3" t="s">
        <v>301</v>
      </c>
      <c r="F12" s="3" t="s">
        <v>302</v>
      </c>
      <c r="G12" s="3" t="s">
        <v>303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304</v>
      </c>
      <c r="B13" s="3" t="s">
        <v>299</v>
      </c>
      <c r="C13" s="3" t="s">
        <v>54</v>
      </c>
      <c r="D13" s="3" t="s">
        <v>305</v>
      </c>
      <c r="E13" s="3" t="s">
        <v>306</v>
      </c>
      <c r="F13" s="3" t="s">
        <v>307</v>
      </c>
      <c r="G13" s="3" t="s">
        <v>308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309</v>
      </c>
      <c r="B14" s="3" t="s">
        <v>310</v>
      </c>
      <c r="C14" s="3" t="s">
        <v>311</v>
      </c>
      <c r="D14" s="3" t="s">
        <v>312</v>
      </c>
      <c r="E14" s="3" t="s">
        <v>313</v>
      </c>
      <c r="F14" s="3" t="s">
        <v>314</v>
      </c>
      <c r="G14" s="3" t="s">
        <v>315</v>
      </c>
      <c r="H14" s="3" t="s">
        <v>236</v>
      </c>
      <c r="I14" s="3" t="s">
        <v>37</v>
      </c>
      <c r="J14" s="3" t="s">
        <v>102</v>
      </c>
      <c r="K14" s="3" t="s">
        <v>238</v>
      </c>
      <c r="L14" s="12"/>
      <c r="M14" s="13"/>
    </row>
    <row r="15" customFormat="false" ht="16.4" hidden="false" customHeight="false" outlineLevel="0" collapsed="false">
      <c r="A15" s="5" t="s">
        <v>316</v>
      </c>
      <c r="B15" s="3" t="s">
        <v>310</v>
      </c>
      <c r="C15" s="3" t="s">
        <v>317</v>
      </c>
      <c r="D15" s="3" t="s">
        <v>318</v>
      </c>
      <c r="E15" s="3" t="s">
        <v>319</v>
      </c>
      <c r="F15" s="3" t="s">
        <v>320</v>
      </c>
      <c r="G15" s="3" t="s">
        <v>321</v>
      </c>
      <c r="H15" s="3" t="s">
        <v>236</v>
      </c>
      <c r="I15" s="3" t="s">
        <v>37</v>
      </c>
      <c r="J15" s="3" t="s">
        <v>102</v>
      </c>
      <c r="K15" s="3" t="s">
        <v>238</v>
      </c>
      <c r="L15" s="12"/>
      <c r="M15" s="13"/>
    </row>
    <row r="16" customFormat="false" ht="16.4" hidden="false" customHeight="false" outlineLevel="0" collapsed="false">
      <c r="A16" s="5" t="s">
        <v>322</v>
      </c>
      <c r="B16" s="3" t="s">
        <v>140</v>
      </c>
      <c r="C16" s="3" t="s">
        <v>323</v>
      </c>
      <c r="D16" s="3" t="s">
        <v>324</v>
      </c>
      <c r="E16" s="3" t="s">
        <v>325</v>
      </c>
      <c r="F16" s="3" t="s">
        <v>326</v>
      </c>
      <c r="G16" s="3" t="s">
        <v>327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328</v>
      </c>
      <c r="B17" s="3" t="s">
        <v>140</v>
      </c>
      <c r="C17" s="3" t="s">
        <v>329</v>
      </c>
      <c r="D17" s="3" t="s">
        <v>330</v>
      </c>
      <c r="E17" s="3" t="s">
        <v>331</v>
      </c>
      <c r="F17" s="3" t="s">
        <v>332</v>
      </c>
      <c r="G17" s="3" t="s">
        <v>333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334</v>
      </c>
      <c r="B18" s="3" t="s">
        <v>335</v>
      </c>
      <c r="C18" s="3" t="s">
        <v>336</v>
      </c>
      <c r="D18" s="3" t="s">
        <v>337</v>
      </c>
      <c r="E18" s="3" t="s">
        <v>338</v>
      </c>
      <c r="F18" s="3" t="s">
        <v>339</v>
      </c>
      <c r="G18" s="3" t="s">
        <v>340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341</v>
      </c>
      <c r="B19" s="3" t="s">
        <v>342</v>
      </c>
      <c r="C19" s="3" t="s">
        <v>343</v>
      </c>
      <c r="D19" s="3" t="s">
        <v>344</v>
      </c>
      <c r="E19" s="3" t="s">
        <v>345</v>
      </c>
      <c r="F19" s="3" t="s">
        <v>346</v>
      </c>
      <c r="G19" s="3" t="s">
        <v>347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348</v>
      </c>
      <c r="B20" s="3" t="s">
        <v>349</v>
      </c>
      <c r="C20" s="3" t="s">
        <v>350</v>
      </c>
      <c r="D20" s="3" t="s">
        <v>351</v>
      </c>
      <c r="E20" s="3" t="s">
        <v>352</v>
      </c>
      <c r="F20" s="3" t="s">
        <v>353</v>
      </c>
      <c r="G20" s="3" t="s">
        <v>354</v>
      </c>
      <c r="H20" s="3" t="s">
        <v>350</v>
      </c>
      <c r="I20" s="3" t="s">
        <v>37</v>
      </c>
      <c r="J20" s="3" t="s">
        <v>102</v>
      </c>
      <c r="K20" s="3" t="s">
        <v>238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355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241</v>
      </c>
    </row>
    <row r="41" customFormat="false" ht="147.35" hidden="false" customHeight="false" outlineLevel="0" collapsed="false">
      <c r="B41" s="14" t="s">
        <v>356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247</v>
      </c>
    </row>
    <row r="53" customFormat="false" ht="135.8" hidden="false" customHeight="false" outlineLevel="0" collapsed="false">
      <c r="B53" s="14" t="s">
        <v>357</v>
      </c>
    </row>
    <row r="62" customFormat="false" ht="15" hidden="false" customHeight="false" outlineLevel="0" collapsed="false">
      <c r="A62" s="1" t="s">
        <v>253</v>
      </c>
    </row>
    <row r="63" customFormat="false" ht="124.6" hidden="false" customHeight="false" outlineLevel="0" collapsed="false">
      <c r="B63" s="14" t="s">
        <v>358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260</v>
      </c>
    </row>
    <row r="80" customFormat="false" ht="260.6" hidden="false" customHeight="false" outlineLevel="0" collapsed="false">
      <c r="B80" s="14" t="s">
        <v>359</v>
      </c>
    </row>
    <row r="83" customFormat="false" ht="12.8" hidden="false" customHeight="false" outlineLevel="0" collapsed="false">
      <c r="B83" s="13" t="s">
        <v>360</v>
      </c>
    </row>
    <row r="87" customFormat="false" ht="12.8" hidden="false" customHeight="false" outlineLevel="0" collapsed="false">
      <c r="C87" s="0"/>
    </row>
    <row r="89" customFormat="false" ht="15" hidden="false" customHeight="false" outlineLevel="0" collapsed="false">
      <c r="A89" s="1" t="s">
        <v>361</v>
      </c>
    </row>
    <row r="90" customFormat="false" ht="148" hidden="false" customHeight="false" outlineLevel="0" collapsed="false">
      <c r="B90" s="14" t="s">
        <v>362</v>
      </c>
    </row>
    <row r="98" customFormat="false" ht="15" hidden="false" customHeight="false" outlineLevel="0" collapsed="false">
      <c r="B98" s="1" t="s">
        <v>363</v>
      </c>
    </row>
    <row r="104" customFormat="false" ht="15" hidden="false" customHeight="false" outlineLevel="0" collapsed="false">
      <c r="A104" s="1" t="s">
        <v>272</v>
      </c>
    </row>
    <row r="105" customFormat="false" ht="351" hidden="false" customHeight="false" outlineLevel="0" collapsed="false">
      <c r="B105" s="14" t="s">
        <v>364</v>
      </c>
    </row>
    <row r="107" customFormat="false" ht="15" hidden="false" customHeight="false" outlineLevel="0" collapsed="false">
      <c r="A107" s="1" t="s">
        <v>280</v>
      </c>
    </row>
    <row r="108" customFormat="false" ht="227" hidden="false" customHeight="false" outlineLevel="0" collapsed="false">
      <c r="B108" s="14" t="s">
        <v>365</v>
      </c>
    </row>
    <row r="130" customFormat="false" ht="15" hidden="false" customHeight="false" outlineLevel="0" collapsed="false">
      <c r="A130" s="1" t="s">
        <v>287</v>
      </c>
    </row>
    <row r="131" customFormat="false" ht="171" hidden="false" customHeight="false" outlineLevel="0" collapsed="false">
      <c r="B131" s="14" t="s">
        <v>366</v>
      </c>
    </row>
    <row r="148" customFormat="false" ht="15" hidden="false" customHeight="false" outlineLevel="0" collapsed="false">
      <c r="A148" s="1" t="s">
        <v>293</v>
      </c>
    </row>
    <row r="149" customFormat="false" ht="227" hidden="false" customHeight="false" outlineLevel="0" collapsed="false">
      <c r="B149" s="14" t="s">
        <v>367</v>
      </c>
    </row>
    <row r="162" customFormat="false" ht="15" hidden="false" customHeight="false" outlineLevel="0" collapsed="false">
      <c r="A162" s="1" t="s">
        <v>298</v>
      </c>
    </row>
    <row r="163" customFormat="false" ht="137" hidden="false" customHeight="false" outlineLevel="0" collapsed="false">
      <c r="B163" s="14" t="s">
        <v>368</v>
      </c>
    </row>
    <row r="166" customFormat="false" ht="12.8" hidden="false" customHeight="false" outlineLevel="0" collapsed="false"/>
    <row r="167" customFormat="false" ht="12.8" hidden="false" customHeight="false" outlineLevel="0" collapsed="false"/>
    <row r="168" customFormat="false" ht="12.8" hidden="false" customHeight="false" outlineLevel="0" collapsed="false"/>
    <row r="169" customFormat="false" ht="12.8" hidden="false" customHeight="false" outlineLevel="0" collapsed="false"/>
    <row r="170" customFormat="false" ht="12.8" hidden="false" customHeight="false" outlineLevel="0" collapsed="false"/>
    <row r="171" customFormat="false" ht="12.8" hidden="false" customHeight="false" outlineLevel="0" collapsed="false"/>
    <row r="172" customFormat="false" ht="12.8" hidden="false" customHeight="false" outlineLevel="0" collapsed="false"/>
    <row r="173" customFormat="false" ht="12.8" hidden="false" customHeight="false" outlineLevel="0" collapsed="false"/>
    <row r="174" customFormat="false" ht="12.8" hidden="false" customHeight="false" outlineLevel="0" collapsed="false"/>
    <row r="175" customFormat="false" ht="12.8" hidden="false" customHeight="false" outlineLevel="0" collapsed="false"/>
    <row r="176" customFormat="false" ht="12.8" hidden="false" customHeight="false" outlineLevel="0" collapsed="false"/>
    <row r="177" customFormat="false" ht="12.8" hidden="false" customHeight="false" outlineLevel="0" collapsed="false"/>
    <row r="178" customFormat="false" ht="12.8" hidden="false" customHeight="false" outlineLevel="0" collapsed="false"/>
    <row r="180" customFormat="false" ht="15" hidden="false" customHeight="false" outlineLevel="0" collapsed="false">
      <c r="A180" s="1" t="s">
        <v>304</v>
      </c>
    </row>
    <row r="181" customFormat="false" ht="160" hidden="false" customHeight="false" outlineLevel="0" collapsed="false">
      <c r="B181" s="14" t="s">
        <v>369</v>
      </c>
    </row>
    <row r="184" customFormat="false" ht="12.8" hidden="false" customHeight="false" outlineLevel="0" collapsed="false"/>
    <row r="185" customFormat="false" ht="12.8" hidden="false" customHeight="false" outlineLevel="0" collapsed="false"/>
    <row r="186" customFormat="false" ht="12.8" hidden="false" customHeight="false" outlineLevel="0" collapsed="false"/>
    <row r="187" customFormat="false" ht="12.8" hidden="false" customHeight="false" outlineLevel="0" collapsed="false"/>
    <row r="188" customFormat="false" ht="12.8" hidden="false" customHeight="false" outlineLevel="0" collapsed="false"/>
    <row r="189" customFormat="false" ht="12.8" hidden="false" customHeight="false" outlineLevel="0" collapsed="false"/>
    <row r="190" customFormat="false" ht="12.8" hidden="false" customHeight="false" outlineLevel="0" collapsed="false"/>
    <row r="191" customFormat="false" ht="12.8" hidden="false" customHeight="false" outlineLevel="0" collapsed="false"/>
    <row r="192" customFormat="false" ht="12.8" hidden="false" customHeight="false" outlineLevel="0" collapsed="false"/>
    <row r="194" customFormat="false" ht="15" hidden="false" customHeight="false" outlineLevel="0" collapsed="false">
      <c r="A194" s="1" t="s">
        <v>309</v>
      </c>
    </row>
    <row r="195" customFormat="false" ht="126" hidden="false" customHeight="false" outlineLevel="0" collapsed="false">
      <c r="B195" s="14" t="s">
        <v>370</v>
      </c>
    </row>
    <row r="199" customFormat="false" ht="15" hidden="false" customHeight="false" outlineLevel="0" collapsed="false">
      <c r="A199" s="1" t="s">
        <v>316</v>
      </c>
    </row>
    <row r="200" customFormat="false" ht="193" hidden="false" customHeight="false" outlineLevel="0" collapsed="false">
      <c r="B200" s="14" t="s">
        <v>371</v>
      </c>
    </row>
    <row r="203" customFormat="false" ht="15" hidden="false" customHeight="false" outlineLevel="0" collapsed="false">
      <c r="A203" s="1" t="s">
        <v>322</v>
      </c>
    </row>
    <row r="204" customFormat="false" ht="272" hidden="false" customHeight="false" outlineLevel="0" collapsed="false">
      <c r="B204" s="14" t="s">
        <v>372</v>
      </c>
    </row>
    <row r="208" customFormat="false" ht="15" hidden="false" customHeight="false" outlineLevel="0" collapsed="false">
      <c r="A208" s="1" t="s">
        <v>328</v>
      </c>
    </row>
    <row r="209" customFormat="false" ht="306" hidden="false" customHeight="false" outlineLevel="0" collapsed="false">
      <c r="B209" s="14" t="s">
        <v>373</v>
      </c>
    </row>
    <row r="213" customFormat="false" ht="15" hidden="false" customHeight="false" outlineLevel="0" collapsed="false">
      <c r="A213" s="1" t="s">
        <v>334</v>
      </c>
    </row>
    <row r="214" customFormat="false" ht="261" hidden="false" customHeight="false" outlineLevel="0" collapsed="false">
      <c r="B214" s="14" t="s">
        <v>374</v>
      </c>
    </row>
    <row r="217" customFormat="false" ht="15" hidden="false" customHeight="false" outlineLevel="0" collapsed="false">
      <c r="A217" s="1" t="s">
        <v>341</v>
      </c>
    </row>
    <row r="218" customFormat="false" ht="250" hidden="false" customHeight="false" outlineLevel="0" collapsed="false">
      <c r="B218" s="14" t="s">
        <v>375</v>
      </c>
    </row>
    <row r="221" customFormat="false" ht="15" hidden="false" customHeight="false" outlineLevel="0" collapsed="false">
      <c r="A221" s="1" t="s">
        <v>348</v>
      </c>
    </row>
    <row r="222" customFormat="false" ht="340" hidden="false" customHeight="false" outlineLevel="0" collapsed="false">
      <c r="B222" s="14" t="s">
        <v>376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377</v>
      </c>
      <c r="C1" s="4" t="s">
        <v>378</v>
      </c>
      <c r="D1" s="4" t="s">
        <v>379</v>
      </c>
      <c r="E1" s="4" t="s">
        <v>380</v>
      </c>
      <c r="F1" s="4" t="s">
        <v>92</v>
      </c>
      <c r="G1" s="4" t="s">
        <v>381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382</v>
      </c>
      <c r="C2" s="3" t="n">
        <v>4</v>
      </c>
      <c r="D2" s="3" t="n">
        <v>4</v>
      </c>
      <c r="E2" s="16" t="n">
        <v>1</v>
      </c>
      <c r="F2" s="3" t="s">
        <v>237</v>
      </c>
      <c r="G2" s="3"/>
      <c r="H2" s="3"/>
    </row>
    <row r="3" customFormat="false" ht="14.9" hidden="false" customHeight="false" outlineLevel="0" collapsed="false">
      <c r="A3" s="3" t="s">
        <v>254</v>
      </c>
      <c r="B3" s="3" t="s">
        <v>383</v>
      </c>
      <c r="C3" s="3" t="n">
        <v>2</v>
      </c>
      <c r="D3" s="3" t="n">
        <v>2</v>
      </c>
      <c r="E3" s="16" t="n">
        <v>1</v>
      </c>
      <c r="F3" s="3" t="s">
        <v>237</v>
      </c>
      <c r="G3" s="3"/>
      <c r="H3" s="3"/>
    </row>
    <row r="4" customFormat="false" ht="16.4" hidden="false" customHeight="false" outlineLevel="0" collapsed="false">
      <c r="A4" s="3" t="s">
        <v>266</v>
      </c>
      <c r="B4" s="3" t="s">
        <v>384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273</v>
      </c>
      <c r="B5" s="3" t="s">
        <v>385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281</v>
      </c>
      <c r="B6" s="3" t="s">
        <v>386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387</v>
      </c>
      <c r="B7" s="3" t="s">
        <v>388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389</v>
      </c>
      <c r="B8" s="3" t="s">
        <v>390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391</v>
      </c>
      <c r="B9" s="3" t="s">
        <v>392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393</v>
      </c>
      <c r="B10" s="3" t="s">
        <v>394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395</v>
      </c>
      <c r="B11" s="3" t="s">
        <v>396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397</v>
      </c>
      <c r="B12" s="3" t="s">
        <v>398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335</v>
      </c>
      <c r="B13" s="3" t="s">
        <v>399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400</v>
      </c>
      <c r="B14" s="3" t="s">
        <v>401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402</v>
      </c>
      <c r="B15" s="3" t="s">
        <v>403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404</v>
      </c>
      <c r="B16" s="3" t="s">
        <v>405</v>
      </c>
      <c r="C16" s="3" t="n">
        <v>0</v>
      </c>
      <c r="D16" s="3" t="n">
        <v>0</v>
      </c>
      <c r="E16" s="3" t="n">
        <v>0</v>
      </c>
      <c r="F16" s="3" t="s">
        <v>406</v>
      </c>
      <c r="G16" s="3"/>
      <c r="H16" s="3"/>
    </row>
    <row r="17" customFormat="false" ht="16.4" hidden="false" customHeight="false" outlineLevel="0" collapsed="false">
      <c r="A17" s="3" t="s">
        <v>407</v>
      </c>
      <c r="B17" s="3" t="s">
        <v>408</v>
      </c>
      <c r="C17" s="3" t="n">
        <v>0</v>
      </c>
      <c r="D17" s="3" t="n">
        <v>0</v>
      </c>
      <c r="E17" s="3" t="n">
        <v>0</v>
      </c>
      <c r="F17" s="3" t="s">
        <v>406</v>
      </c>
      <c r="G17" s="3"/>
      <c r="H17" s="3"/>
    </row>
    <row r="18" customFormat="false" ht="16.4" hidden="false" customHeight="false" outlineLevel="0" collapsed="false">
      <c r="A18" s="3" t="s">
        <v>349</v>
      </c>
      <c r="B18" s="3" t="s">
        <v>409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{7BEF86E0-B0F1-4488-A046-EA5776225150}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EF86E0-B0F1-4488-A046-EA5776225150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410</v>
      </c>
      <c r="B1" s="2" t="s">
        <v>410</v>
      </c>
      <c r="C1" s="2" t="s">
        <v>410</v>
      </c>
      <c r="D1" s="2" t="s">
        <v>410</v>
      </c>
      <c r="E1" s="2" t="s">
        <v>410</v>
      </c>
      <c r="F1" s="2" t="s">
        <v>410</v>
      </c>
      <c r="G1" s="2" t="s">
        <v>410</v>
      </c>
      <c r="H1" s="2" t="s">
        <v>410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411</v>
      </c>
      <c r="B3" s="4" t="s">
        <v>412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413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414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415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416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417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418</v>
      </c>
      <c r="B9" s="3" t="n">
        <f aca="false">COUNTIF(Escenarios_Prueba!J2:J120,"Completado")</f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419</v>
      </c>
      <c r="C10" s="3"/>
      <c r="D10" s="4" t="s">
        <v>220</v>
      </c>
      <c r="E10" s="4" t="s">
        <v>380</v>
      </c>
      <c r="F10" s="4" t="s">
        <v>420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421</v>
      </c>
      <c r="B12" s="3" t="n">
        <f aca="false">COUNTIF(Matriz_RV32I!K2:K100,"En progreso")</f>
        <v>0</v>
      </c>
      <c r="C12" s="3"/>
      <c r="D12" s="3" t="s">
        <v>254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422</v>
      </c>
      <c r="B13" s="3" t="n">
        <f aca="false">COUNTIF(Matriz_RV32I!K2:K100,"Bloqueado")</f>
        <v>0</v>
      </c>
      <c r="C13" s="3"/>
      <c r="D13" s="3" t="s">
        <v>266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237</v>
      </c>
      <c r="B14" s="3" t="n">
        <f aca="false">COUNTIF(Matriz_RV32I!K2:K100,"Completado")</f>
        <v>0</v>
      </c>
      <c r="C14" s="3"/>
      <c r="D14" s="3" t="s">
        <v>273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406</v>
      </c>
      <c r="B15" s="3" t="n">
        <f aca="false">COUNTIF(Matriz_RV32I!K2:K100,"N/A")</f>
        <v>0</v>
      </c>
      <c r="C15" s="3"/>
      <c r="D15" s="3" t="s">
        <v>281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423</v>
      </c>
      <c r="B16" s="3" t="s">
        <v>419</v>
      </c>
      <c r="C16" s="3"/>
      <c r="D16" s="3" t="s">
        <v>387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424</v>
      </c>
      <c r="B17" s="3" t="n">
        <f aca="false">COUNTIF(Documentos_Entradas!D2:D100,"Sí")</f>
        <v>10</v>
      </c>
      <c r="C17" s="3"/>
      <c r="D17" s="3" t="s">
        <v>389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425</v>
      </c>
      <c r="B18" s="4" t="n">
        <f aca="false">COUNTIFS(Documentos_Entradas!D2:D100,"Sí",Documentos_Entradas!I2:I100,"Completo")</f>
        <v>0</v>
      </c>
      <c r="C18" s="3"/>
      <c r="D18" s="3" t="s">
        <v>391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426</v>
      </c>
      <c r="B19" s="3" t="n">
        <f aca="false">COUNTA(MMIO_Interrupts_Traps!A2:A100)</f>
        <v>10</v>
      </c>
      <c r="C19" s="3"/>
      <c r="D19" s="3" t="s">
        <v>393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427</v>
      </c>
      <c r="B20" s="3" t="n">
        <f aca="false">COUNTIF(MMIO_Interrupts_Traps!J2:J100,"Completado")</f>
        <v>0</v>
      </c>
      <c r="C20" s="3"/>
      <c r="D20" s="3" t="s">
        <v>397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428</v>
      </c>
      <c r="B21" s="16" t="n">
        <f aca="false">IFERROR(B20/B19,0)</f>
        <v>0</v>
      </c>
      <c r="C21" s="3"/>
      <c r="D21" s="3" t="s">
        <v>335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402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349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{AB97E071-6A1C-4AC9-8A93-9377AF9A10B0}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97E071-6A1C-4AC9-8A93-9377AF9A10B0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429</v>
      </c>
      <c r="B1" s="4" t="s">
        <v>430</v>
      </c>
      <c r="C1" s="4" t="s">
        <v>431</v>
      </c>
      <c r="D1" s="4" t="s">
        <v>377</v>
      </c>
      <c r="E1" s="4" t="s">
        <v>432</v>
      </c>
      <c r="F1" s="4" t="s">
        <v>220</v>
      </c>
      <c r="G1" s="4" t="s">
        <v>378</v>
      </c>
      <c r="H1" s="4" t="s">
        <v>379</v>
      </c>
      <c r="I1" s="4" t="s">
        <v>380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433</v>
      </c>
      <c r="B2" s="3" t="s">
        <v>404</v>
      </c>
      <c r="C2" s="3" t="s">
        <v>434</v>
      </c>
      <c r="D2" s="3" t="s">
        <v>435</v>
      </c>
      <c r="E2" s="3" t="s">
        <v>60</v>
      </c>
      <c r="F2" s="3" t="s">
        <v>404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436</v>
      </c>
      <c r="B3" s="3" t="s">
        <v>404</v>
      </c>
      <c r="C3" s="3" t="s">
        <v>437</v>
      </c>
      <c r="D3" s="3" t="s">
        <v>438</v>
      </c>
      <c r="E3" s="3" t="s">
        <v>60</v>
      </c>
      <c r="F3" s="3" t="s">
        <v>404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439</v>
      </c>
      <c r="B4" s="3" t="s">
        <v>404</v>
      </c>
      <c r="C4" s="3" t="s">
        <v>440</v>
      </c>
      <c r="D4" s="3" t="s">
        <v>441</v>
      </c>
      <c r="E4" s="3" t="s">
        <v>60</v>
      </c>
      <c r="F4" s="3" t="s">
        <v>404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442</v>
      </c>
      <c r="B5" s="3" t="s">
        <v>407</v>
      </c>
      <c r="C5" s="3" t="s">
        <v>443</v>
      </c>
      <c r="D5" s="3" t="s">
        <v>444</v>
      </c>
      <c r="E5" s="3" t="s">
        <v>63</v>
      </c>
      <c r="F5" s="3" t="s">
        <v>407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445</v>
      </c>
      <c r="B6" s="3" t="s">
        <v>407</v>
      </c>
      <c r="C6" s="3" t="s">
        <v>446</v>
      </c>
      <c r="D6" s="3" t="s">
        <v>447</v>
      </c>
      <c r="E6" s="3" t="s">
        <v>63</v>
      </c>
      <c r="F6" s="3" t="s">
        <v>407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448</v>
      </c>
      <c r="B7" s="3" t="s">
        <v>407</v>
      </c>
      <c r="C7" s="3" t="s">
        <v>449</v>
      </c>
      <c r="D7" s="3" t="s">
        <v>450</v>
      </c>
      <c r="E7" s="3" t="s">
        <v>63</v>
      </c>
      <c r="F7" s="3" t="s">
        <v>407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451</v>
      </c>
      <c r="B8" s="3" t="s">
        <v>216</v>
      </c>
      <c r="C8" s="3" t="s">
        <v>452</v>
      </c>
      <c r="D8" s="3" t="s">
        <v>453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454</v>
      </c>
      <c r="B9" s="3" t="s">
        <v>216</v>
      </c>
      <c r="C9" s="3" t="s">
        <v>455</v>
      </c>
      <c r="D9" s="3" t="s">
        <v>456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457</v>
      </c>
      <c r="B10" s="3" t="s">
        <v>216</v>
      </c>
      <c r="C10" s="3" t="s">
        <v>458</v>
      </c>
      <c r="D10" s="3" t="s">
        <v>459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460</v>
      </c>
      <c r="B11" s="3" t="s">
        <v>216</v>
      </c>
      <c r="C11" s="3" t="s">
        <v>461</v>
      </c>
      <c r="D11" s="3" t="s">
        <v>462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{FA31307F-9FC6-4540-9BEB-DB8960F87D1C}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31307F-9FC6-4540-9BEB-DB8960F87D1C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463</v>
      </c>
      <c r="D1" s="4" t="s">
        <v>464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421</v>
      </c>
      <c r="B3" s="3" t="s">
        <v>166</v>
      </c>
      <c r="C3" s="3" t="s">
        <v>465</v>
      </c>
      <c r="D3" s="3" t="s">
        <v>38</v>
      </c>
    </row>
    <row r="4" customFormat="false" ht="16.4" hidden="false" customHeight="false" outlineLevel="0" collapsed="false">
      <c r="A4" s="3" t="s">
        <v>422</v>
      </c>
      <c r="B4" s="3" t="s">
        <v>212</v>
      </c>
      <c r="C4" s="3" t="s">
        <v>350</v>
      </c>
      <c r="D4" s="3" t="s">
        <v>466</v>
      </c>
    </row>
    <row r="5" customFormat="false" ht="16.4" hidden="false" customHeight="false" outlineLevel="0" collapsed="false">
      <c r="A5" s="3" t="s">
        <v>237</v>
      </c>
      <c r="B5" s="3" t="s">
        <v>238</v>
      </c>
      <c r="C5" s="3" t="s">
        <v>349</v>
      </c>
      <c r="D5" s="3"/>
    </row>
    <row r="6" customFormat="false" ht="16.4" hidden="false" customHeight="false" outlineLevel="0" collapsed="false">
      <c r="A6" s="3" t="s">
        <v>406</v>
      </c>
      <c r="B6" s="3"/>
      <c r="C6" s="3" t="s">
        <v>279</v>
      </c>
      <c r="D6" s="3"/>
    </row>
    <row r="7" customFormat="false" ht="16.4" hidden="false" customHeight="false" outlineLevel="0" collapsed="false">
      <c r="A7" s="3"/>
      <c r="B7" s="3"/>
      <c r="C7" s="3" t="s">
        <v>467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468</v>
      </c>
      <c r="B1" s="3" t="s">
        <v>469</v>
      </c>
      <c r="C1" s="3" t="s">
        <v>470</v>
      </c>
      <c r="D1" s="3" t="s">
        <v>471</v>
      </c>
      <c r="E1" s="3" t="s">
        <v>472</v>
      </c>
      <c r="F1" s="3" t="s">
        <v>473</v>
      </c>
      <c r="G1" s="3" t="s">
        <v>474</v>
      </c>
      <c r="H1" s="3" t="s">
        <v>349</v>
      </c>
      <c r="I1" s="3" t="s">
        <v>92</v>
      </c>
      <c r="J1" s="3" t="s">
        <v>381</v>
      </c>
      <c r="K1" s="3" t="s">
        <v>33</v>
      </c>
      <c r="L1" s="3"/>
    </row>
    <row r="2" customFormat="false" ht="31.3" hidden="false" customHeight="false" outlineLevel="0" collapsed="false">
      <c r="A2" s="3" t="s">
        <v>475</v>
      </c>
      <c r="B2" s="3" t="s">
        <v>476</v>
      </c>
      <c r="C2" s="3" t="s">
        <v>477</v>
      </c>
      <c r="D2" s="3" t="s">
        <v>478</v>
      </c>
      <c r="E2" s="3" t="s">
        <v>479</v>
      </c>
      <c r="F2" s="3" t="s">
        <v>480</v>
      </c>
      <c r="G2" s="3" t="s">
        <v>481</v>
      </c>
      <c r="H2" s="3" t="s">
        <v>482</v>
      </c>
      <c r="I2" s="3" t="s">
        <v>102</v>
      </c>
      <c r="J2" s="3"/>
      <c r="K2" s="3" t="s">
        <v>483</v>
      </c>
      <c r="L2" s="3"/>
    </row>
    <row r="3" customFormat="false" ht="16.4" hidden="false" customHeight="false" outlineLevel="0" collapsed="false">
      <c r="A3" s="3" t="s">
        <v>484</v>
      </c>
      <c r="B3" s="3" t="s">
        <v>485</v>
      </c>
      <c r="C3" s="3" t="s">
        <v>486</v>
      </c>
      <c r="D3" s="3" t="s">
        <v>487</v>
      </c>
      <c r="E3" s="3" t="s">
        <v>488</v>
      </c>
      <c r="F3" s="3" t="s">
        <v>489</v>
      </c>
      <c r="G3" s="3" t="s">
        <v>490</v>
      </c>
      <c r="H3" s="3" t="s">
        <v>491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499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500</v>
      </c>
      <c r="B5" s="3" t="s">
        <v>501</v>
      </c>
      <c r="C5" s="3" t="s">
        <v>502</v>
      </c>
      <c r="D5" s="3" t="s">
        <v>503</v>
      </c>
      <c r="E5" s="3" t="s">
        <v>504</v>
      </c>
      <c r="F5" s="3" t="s">
        <v>505</v>
      </c>
      <c r="G5" s="3" t="s">
        <v>506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507</v>
      </c>
      <c r="B6" s="3" t="s">
        <v>508</v>
      </c>
      <c r="C6" s="3" t="s">
        <v>509</v>
      </c>
      <c r="D6" s="3" t="s">
        <v>510</v>
      </c>
      <c r="E6" s="3" t="s">
        <v>511</v>
      </c>
      <c r="F6" s="3" t="s">
        <v>512</v>
      </c>
      <c r="G6" s="3" t="s">
        <v>513</v>
      </c>
      <c r="H6" s="3" t="s">
        <v>514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254</v>
      </c>
      <c r="B7" s="3" t="s">
        <v>396</v>
      </c>
      <c r="C7" s="3" t="s">
        <v>515</v>
      </c>
      <c r="D7" s="3" t="s">
        <v>516</v>
      </c>
      <c r="E7" s="3" t="s">
        <v>517</v>
      </c>
      <c r="F7" s="3" t="s">
        <v>518</v>
      </c>
      <c r="G7" s="3" t="s">
        <v>519</v>
      </c>
      <c r="H7" s="3" t="s">
        <v>520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387</v>
      </c>
      <c r="B8" s="3" t="s">
        <v>396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520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395</v>
      </c>
      <c r="B9" s="3" t="s">
        <v>396</v>
      </c>
      <c r="C9" s="3" t="s">
        <v>522</v>
      </c>
      <c r="D9" s="3" t="s">
        <v>526</v>
      </c>
      <c r="E9" s="3" t="s">
        <v>527</v>
      </c>
      <c r="F9" s="3" t="s">
        <v>528</v>
      </c>
      <c r="G9" s="3" t="s">
        <v>529</v>
      </c>
      <c r="H9" s="3" t="s">
        <v>520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335</v>
      </c>
      <c r="B10" s="3" t="s">
        <v>396</v>
      </c>
      <c r="C10" s="3" t="s">
        <v>526</v>
      </c>
      <c r="D10" s="3" t="s">
        <v>530</v>
      </c>
      <c r="E10" s="3" t="s">
        <v>531</v>
      </c>
      <c r="F10" s="3" t="s">
        <v>532</v>
      </c>
      <c r="G10" s="3" t="s">
        <v>533</v>
      </c>
      <c r="H10" s="3" t="s">
        <v>520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342</v>
      </c>
      <c r="B11" s="3" t="s">
        <v>534</v>
      </c>
      <c r="C11" s="3" t="s">
        <v>535</v>
      </c>
      <c r="D11" s="3" t="s">
        <v>536</v>
      </c>
      <c r="E11" s="3" t="s">
        <v>537</v>
      </c>
      <c r="F11" s="3" t="s">
        <v>538</v>
      </c>
      <c r="G11" s="3" t="s">
        <v>539</v>
      </c>
      <c r="H11" s="3" t="s">
        <v>540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541</v>
      </c>
      <c r="B12" s="3" t="s">
        <v>542</v>
      </c>
      <c r="C12" s="3" t="s">
        <v>543</v>
      </c>
      <c r="D12" s="3" t="s">
        <v>544</v>
      </c>
      <c r="E12" s="3" t="s">
        <v>545</v>
      </c>
      <c r="F12" s="3" t="s">
        <v>546</v>
      </c>
      <c r="G12" s="3" t="s">
        <v>547</v>
      </c>
      <c r="H12" s="3" t="s">
        <v>547</v>
      </c>
      <c r="I12" s="3" t="s">
        <v>548</v>
      </c>
      <c r="J12" s="3"/>
      <c r="K12" s="3" t="s">
        <v>549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550</v>
      </c>
      <c r="B1" s="3" t="s">
        <v>226</v>
      </c>
      <c r="C1" s="3" t="s">
        <v>222</v>
      </c>
      <c r="D1" s="3" t="s">
        <v>551</v>
      </c>
      <c r="E1" s="3" t="s">
        <v>552</v>
      </c>
      <c r="F1" s="3" t="s">
        <v>553</v>
      </c>
      <c r="G1" s="3" t="s">
        <v>554</v>
      </c>
      <c r="H1" s="3" t="s">
        <v>555</v>
      </c>
      <c r="I1" s="3" t="s">
        <v>473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556</v>
      </c>
      <c r="B2" s="3" t="s">
        <v>311</v>
      </c>
      <c r="C2" s="3" t="s">
        <v>557</v>
      </c>
      <c r="D2" s="3" t="s">
        <v>558</v>
      </c>
      <c r="E2" s="3" t="s">
        <v>559</v>
      </c>
      <c r="F2" s="3" t="s">
        <v>560</v>
      </c>
      <c r="G2" s="3" t="s">
        <v>492</v>
      </c>
      <c r="H2" s="3" t="s">
        <v>492</v>
      </c>
      <c r="I2" s="3" t="s">
        <v>561</v>
      </c>
      <c r="J2" s="3" t="s">
        <v>562</v>
      </c>
      <c r="K2" s="3" t="s">
        <v>238</v>
      </c>
      <c r="L2" s="3" t="s">
        <v>102</v>
      </c>
    </row>
    <row r="3" customFormat="false" ht="16.4" hidden="false" customHeight="false" outlineLevel="0" collapsed="false">
      <c r="A3" s="3" t="s">
        <v>563</v>
      </c>
      <c r="B3" s="3" t="s">
        <v>311</v>
      </c>
      <c r="C3" s="3" t="s">
        <v>564</v>
      </c>
      <c r="D3" s="3" t="s">
        <v>565</v>
      </c>
      <c r="E3" s="3" t="s">
        <v>566</v>
      </c>
      <c r="F3" s="3" t="s">
        <v>567</v>
      </c>
      <c r="G3" s="3" t="s">
        <v>492</v>
      </c>
      <c r="H3" s="3" t="s">
        <v>492</v>
      </c>
      <c r="I3" s="3" t="s">
        <v>568</v>
      </c>
      <c r="J3" s="3" t="s">
        <v>569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570</v>
      </c>
      <c r="B4" s="3" t="s">
        <v>317</v>
      </c>
      <c r="C4" s="3" t="s">
        <v>571</v>
      </c>
      <c r="D4" s="3" t="s">
        <v>572</v>
      </c>
      <c r="E4" s="3" t="s">
        <v>573</v>
      </c>
      <c r="F4" s="3" t="s">
        <v>574</v>
      </c>
      <c r="G4" s="3" t="s">
        <v>575</v>
      </c>
      <c r="H4" s="3" t="s">
        <v>576</v>
      </c>
      <c r="I4" s="3" t="s">
        <v>577</v>
      </c>
      <c r="J4" s="3" t="s">
        <v>578</v>
      </c>
      <c r="K4" s="3" t="s">
        <v>238</v>
      </c>
      <c r="L4" s="3" t="s">
        <v>102</v>
      </c>
    </row>
    <row r="5" customFormat="false" ht="46.25" hidden="false" customHeight="false" outlineLevel="0" collapsed="false">
      <c r="A5" s="3" t="s">
        <v>579</v>
      </c>
      <c r="B5" s="3" t="s">
        <v>54</v>
      </c>
      <c r="C5" s="3" t="s">
        <v>580</v>
      </c>
      <c r="D5" s="3" t="s">
        <v>581</v>
      </c>
      <c r="E5" s="3" t="s">
        <v>582</v>
      </c>
      <c r="F5" s="3" t="s">
        <v>583</v>
      </c>
      <c r="G5" s="3" t="s">
        <v>492</v>
      </c>
      <c r="H5" s="3" t="s">
        <v>254</v>
      </c>
      <c r="I5" s="3" t="s">
        <v>584</v>
      </c>
      <c r="J5" s="3" t="s">
        <v>585</v>
      </c>
      <c r="K5" s="3" t="s">
        <v>238</v>
      </c>
      <c r="L5" s="3" t="s">
        <v>102</v>
      </c>
    </row>
    <row r="6" customFormat="false" ht="31.3" hidden="false" customHeight="false" outlineLevel="0" collapsed="false">
      <c r="A6" s="3" t="s">
        <v>586</v>
      </c>
      <c r="B6" s="3" t="s">
        <v>54</v>
      </c>
      <c r="C6" s="3" t="s">
        <v>587</v>
      </c>
      <c r="D6" s="3" t="s">
        <v>588</v>
      </c>
      <c r="E6" s="3" t="s">
        <v>589</v>
      </c>
      <c r="F6" s="3" t="s">
        <v>590</v>
      </c>
      <c r="G6" s="3" t="s">
        <v>492</v>
      </c>
      <c r="H6" s="3" t="s">
        <v>591</v>
      </c>
      <c r="I6" s="3" t="s">
        <v>592</v>
      </c>
      <c r="J6" s="3" t="s">
        <v>593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594</v>
      </c>
      <c r="B7" s="3" t="s">
        <v>54</v>
      </c>
      <c r="C7" s="3" t="s">
        <v>595</v>
      </c>
      <c r="D7" s="3" t="s">
        <v>596</v>
      </c>
      <c r="E7" s="3" t="s">
        <v>597</v>
      </c>
      <c r="F7" s="3" t="s">
        <v>598</v>
      </c>
      <c r="G7" s="3" t="s">
        <v>492</v>
      </c>
      <c r="H7" s="3" t="s">
        <v>591</v>
      </c>
      <c r="I7" s="3" t="s">
        <v>599</v>
      </c>
      <c r="J7" s="3" t="s">
        <v>600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601</v>
      </c>
      <c r="B8" s="3" t="s">
        <v>602</v>
      </c>
      <c r="C8" s="3" t="s">
        <v>603</v>
      </c>
      <c r="D8" s="3" t="s">
        <v>604</v>
      </c>
      <c r="E8" s="3" t="s">
        <v>605</v>
      </c>
      <c r="F8" s="3" t="s">
        <v>606</v>
      </c>
      <c r="G8" s="3" t="s">
        <v>230</v>
      </c>
      <c r="H8" s="3" t="s">
        <v>254</v>
      </c>
      <c r="I8" s="3" t="s">
        <v>607</v>
      </c>
      <c r="J8" s="3" t="s">
        <v>608</v>
      </c>
      <c r="K8" s="3" t="s">
        <v>238</v>
      </c>
      <c r="L8" s="3" t="s">
        <v>102</v>
      </c>
    </row>
    <row r="9" customFormat="false" ht="16.4" hidden="false" customHeight="false" outlineLevel="0" collapsed="false">
      <c r="A9" s="3" t="s">
        <v>609</v>
      </c>
      <c r="B9" s="3" t="s">
        <v>602</v>
      </c>
      <c r="C9" s="3" t="s">
        <v>610</v>
      </c>
      <c r="D9" s="3" t="s">
        <v>611</v>
      </c>
      <c r="E9" s="3" t="s">
        <v>612</v>
      </c>
      <c r="F9" s="3" t="s">
        <v>613</v>
      </c>
      <c r="G9" s="3" t="s">
        <v>614</v>
      </c>
      <c r="H9" s="3" t="s">
        <v>615</v>
      </c>
      <c r="I9" s="3" t="s">
        <v>616</v>
      </c>
      <c r="J9" s="3" t="s">
        <v>617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2026-04-11T21:31:34Z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